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B3CDC3-80A2-4224-87B4-9B9039A5880B}" xr6:coauthVersionLast="47" xr6:coauthVersionMax="47" xr10:uidLastSave="{00000000-0000-0000-0000-000000000000}"/>
  <bookViews>
    <workbookView xWindow="-110" yWindow="-110" windowWidth="19420" windowHeight="10300" tabRatio="500" firstSheet="2" activeTab="4" xr2:uid="{00000000-000D-0000-FFFF-FFFF00000000}"/>
  </bookViews>
  <sheets>
    <sheet name="Live Dashboard" sheetId="1" r:id="rId1"/>
    <sheet name="By Ownership" sheetId="3" r:id="rId2"/>
    <sheet name="By Dependency" sheetId="4" r:id="rId3"/>
    <sheet name="By Project Status" sheetId="5" r:id="rId4"/>
    <sheet name="Master Data" sheetId="9" r:id="rId5"/>
  </sheets>
  <definedNames>
    <definedName name="_xlnm._FilterDatabase" localSheetId="4" hidden="1">'Master Data'!$A$1:$P$399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F6" i="1" s="1"/>
  <c r="O21" i="1"/>
  <c r="P21" i="1"/>
  <c r="Q21" i="1"/>
  <c r="N21" i="1"/>
  <c r="I17" i="1"/>
  <c r="J17" i="1"/>
  <c r="K6" i="1" s="1"/>
  <c r="K17" i="1"/>
  <c r="H17" i="1"/>
  <c r="D13" i="1"/>
  <c r="E13" i="1"/>
  <c r="C13" i="1"/>
  <c r="A6" i="1" s="1"/>
  <c r="M18" i="5"/>
  <c r="L18" i="5"/>
  <c r="K18" i="5"/>
  <c r="J18" i="5"/>
  <c r="I18" i="5"/>
  <c r="H18" i="5"/>
  <c r="G18" i="5"/>
  <c r="F18" i="5"/>
  <c r="E18" i="5"/>
  <c r="D18" i="5"/>
  <c r="C18" i="5"/>
  <c r="M14" i="4"/>
  <c r="L14" i="4"/>
  <c r="K14" i="4"/>
  <c r="J14" i="4"/>
  <c r="I14" i="4"/>
  <c r="H14" i="4"/>
  <c r="G14" i="4"/>
  <c r="F14" i="4"/>
  <c r="E14" i="4"/>
  <c r="D14" i="4"/>
  <c r="C14" i="4"/>
  <c r="M10" i="3"/>
  <c r="L10" i="3"/>
  <c r="K10" i="3"/>
  <c r="J10" i="3"/>
  <c r="I10" i="3"/>
  <c r="H10" i="3"/>
  <c r="G10" i="3"/>
  <c r="F10" i="3"/>
  <c r="E10" i="3"/>
  <c r="D10" i="3"/>
  <c r="C10" i="3"/>
</calcChain>
</file>

<file path=xl/sharedStrings.xml><?xml version="1.0" encoding="utf-8"?>
<sst xmlns="http://schemas.openxmlformats.org/spreadsheetml/2006/main" count="2520" uniqueCount="805">
  <si>
    <t>⚡  LIVE AR AGEING DASHBOARD  |  SolarSquare Energy  |  Multi-Dimension View</t>
  </si>
  <si>
    <t>Total Outstanding</t>
  </si>
  <si>
    <t>Total Projects</t>
  </si>
  <si>
    <t>Subsequently Collected</t>
  </si>
  <si>
    <t>Net Receivable</t>
  </si>
  <si>
    <t>BY OWNERSHIP (COL X)</t>
  </si>
  <si>
    <t>BY DEPENDENCY (COL W)</t>
  </si>
  <si>
    <t>BY PROJECT STATUS (COL V)</t>
  </si>
  <si>
    <t>OWNERSHIP</t>
  </si>
  <si>
    <t>DEPENDENCY</t>
  </si>
  <si>
    <t>PROJECT STATUS</t>
  </si>
  <si>
    <t>Particulars</t>
  </si>
  <si>
    <t>#</t>
  </si>
  <si>
    <t>Outstanding</t>
  </si>
  <si>
    <t>Collected</t>
  </si>
  <si>
    <t>Net</t>
  </si>
  <si>
    <t>Planning</t>
  </si>
  <si>
    <t>AMC</t>
  </si>
  <si>
    <t>Sales</t>
  </si>
  <si>
    <t>Finance</t>
  </si>
  <si>
    <t>Cancelled</t>
  </si>
  <si>
    <t>Unknown</t>
  </si>
  <si>
    <t>Lender</t>
  </si>
  <si>
    <t>Commissioned</t>
  </si>
  <si>
    <t>TOTAL</t>
  </si>
  <si>
    <t>Liaisoning</t>
  </si>
  <si>
    <t>Commissioning WIP</t>
  </si>
  <si>
    <t>Ops</t>
  </si>
  <si>
    <t>Legal</t>
  </si>
  <si>
    <t>Old</t>
  </si>
  <si>
    <t>On Going</t>
  </si>
  <si>
    <t>Write off</t>
  </si>
  <si>
    <t>Retention</t>
  </si>
  <si>
    <t>TDS</t>
  </si>
  <si>
    <t>0-30</t>
  </si>
  <si>
    <t>31-60</t>
  </si>
  <si>
    <t>CHS</t>
  </si>
  <si>
    <t>61-90</t>
  </si>
  <si>
    <t>CNI</t>
  </si>
  <si>
    <t>91-120</t>
  </si>
  <si>
    <t>O&amp;M</t>
  </si>
  <si>
    <t>121-180</t>
  </si>
  <si>
    <t>181-270</t>
  </si>
  <si>
    <t>271-365</t>
  </si>
  <si>
    <t>Above 365</t>
  </si>
  <si>
    <t>No dues</t>
  </si>
  <si>
    <t>AR AGEING — BY OWNERSHIP (Col X)</t>
  </si>
  <si>
    <t>All amounts in ₹  |  Updates when Master Data changes</t>
  </si>
  <si>
    <t>No of
Projects</t>
  </si>
  <si>
    <t>Total
Outstanding</t>
  </si>
  <si>
    <t>Subsequently
Collected</t>
  </si>
  <si>
    <t>Net
Receivable</t>
  </si>
  <si>
    <t>AR AGEING — BY DEPENDENCY (Col W)</t>
  </si>
  <si>
    <t>AR AGEING — BY PROJECT STATUS (Col V)</t>
  </si>
  <si>
    <t>Customer</t>
  </si>
  <si>
    <t>Project</t>
  </si>
  <si>
    <t>Type</t>
  </si>
  <si>
    <t>Project Status (V)</t>
  </si>
  <si>
    <t>Dependency (W)</t>
  </si>
  <si>
    <t>Ownership (X)</t>
  </si>
  <si>
    <t>FORCE MOTOR LIMITED</t>
  </si>
  <si>
    <t>CCNI_1231</t>
  </si>
  <si>
    <t>Fairfield Co-Operative Housing Society Ltd.</t>
  </si>
  <si>
    <t>SSHS_1214</t>
  </si>
  <si>
    <t>National Construction</t>
  </si>
  <si>
    <t>Gemini A &amp; B Co-Operative Housing Society Limited</t>
  </si>
  <si>
    <t>SSHS_1260</t>
  </si>
  <si>
    <t>Emami Agrotech Limited-O&amp;M</t>
  </si>
  <si>
    <t>D Decor Home Fabric Private Limited- O&amp;M</t>
  </si>
  <si>
    <t>Enpro Industries Private Limited - 763Kwp</t>
  </si>
  <si>
    <t>CCNI_1236</t>
  </si>
  <si>
    <t>OM Neelkanth Dhara Co-Operative Housing Society Limited</t>
  </si>
  <si>
    <t>SSHS_1268</t>
  </si>
  <si>
    <t>POONAM ESTATE CLUSTER-III C.H.S. L.T.D</t>
  </si>
  <si>
    <t>SSHS_1123</t>
  </si>
  <si>
    <t>South City Maintenance Committee</t>
  </si>
  <si>
    <t>SSHS_1211</t>
  </si>
  <si>
    <t>Selene Co-Operative Housing Society Limited</t>
  </si>
  <si>
    <t>SSHS_1281</t>
  </si>
  <si>
    <t>AMP ENERGY INDIA PRIVATE LIMITED</t>
  </si>
  <si>
    <t>Kalpataru Gardens Phase-1 C.H.S. L.T.D.</t>
  </si>
  <si>
    <t>SSHS_1215</t>
  </si>
  <si>
    <t>Brigade Enterprises Limited (Brigade Xando)</t>
  </si>
  <si>
    <t>CCNI_1187</t>
  </si>
  <si>
    <t>Veerma Paradise Co-Operative Housing Society Limited</t>
  </si>
  <si>
    <t>SSHS_1287</t>
  </si>
  <si>
    <t>Silver Oak Co-Operative Housing Society Limited_100.44Kwp</t>
  </si>
  <si>
    <t>SSHS_1267</t>
  </si>
  <si>
    <t>Kumar Sublime Co-operative Housing Society Limited</t>
  </si>
  <si>
    <t>SSHS_1165</t>
  </si>
  <si>
    <t>Mangalam Organics Limited-O&amp;M</t>
  </si>
  <si>
    <t>Parkwoods C Co-Operative Housing Society Limited</t>
  </si>
  <si>
    <t>SSHS_1255</t>
  </si>
  <si>
    <t>Mohan Suburbia Oxford (Phase -1) Co-operative Housing Society Ltd</t>
  </si>
  <si>
    <t>SSHS_1188</t>
  </si>
  <si>
    <t>M S HELLO BABY PVT LTD</t>
  </si>
  <si>
    <t>CCNI_1196</t>
  </si>
  <si>
    <t>Reliance Corporate IT Park Ltd- O&amp;M</t>
  </si>
  <si>
    <t>Horizons At Wakad Co-operative Housing Society Ltd</t>
  </si>
  <si>
    <t>SSHS_1154</t>
  </si>
  <si>
    <t>Wudmin Energy Pvt Ltd-O&amp;M</t>
  </si>
  <si>
    <t>Premier Residences I Co-Operative Housing Society Limited</t>
  </si>
  <si>
    <t>SSHS_1175</t>
  </si>
  <si>
    <t>ROTEX MANUFACTURERS AND ENGINEERS PRIVATE Phase 2_311Kwp</t>
  </si>
  <si>
    <t>CCNI_1255</t>
  </si>
  <si>
    <t>Anise Grove CHS LTD</t>
  </si>
  <si>
    <t>SSHS_1151</t>
  </si>
  <si>
    <t>GOKUL AGRO RESOURCES LIMITED- Nellore 2</t>
  </si>
  <si>
    <t>CCNI_1201</t>
  </si>
  <si>
    <t>Delicia Foods</t>
  </si>
  <si>
    <t>Akruti Orchid Park H &amp; I Wing Co-op. Housing Society Ltd.</t>
  </si>
  <si>
    <t>SSHS_1194</t>
  </si>
  <si>
    <t>Kumar Prithvi Achalnagar Sahakari Gruharachna Sanstha Maryadit</t>
  </si>
  <si>
    <t>SSHS_1120</t>
  </si>
  <si>
    <t>Suyash Nisarg Sahakari Gruhrachana Sanstha Maryadit</t>
  </si>
  <si>
    <t>SSHS_1270</t>
  </si>
  <si>
    <t>Al Haadi Phase 1 Co-Operative Housing Society Limited</t>
  </si>
  <si>
    <t>SSHS_1232</t>
  </si>
  <si>
    <t>Callisto CHS</t>
  </si>
  <si>
    <t>SSHS_1159</t>
  </si>
  <si>
    <t>Industrial Glass Insulation</t>
  </si>
  <si>
    <t>CCNI_1232</t>
  </si>
  <si>
    <t>Enpro Industries Phase-O&amp;M</t>
  </si>
  <si>
    <t>Konark Indrayu Enclave II Co-operative Housing Society Ltd</t>
  </si>
  <si>
    <t>SSHS_1044</t>
  </si>
  <si>
    <t>M S YASH CONSTRUCTION COMPANY</t>
  </si>
  <si>
    <t>Delta Tower Co-operative housing society</t>
  </si>
  <si>
    <t>SSHS_1100</t>
  </si>
  <si>
    <t>Soka Co-Operative Housing Society Limited</t>
  </si>
  <si>
    <t>SSHS_1225</t>
  </si>
  <si>
    <t>Malpani Greens Co-Operative Housing Society Limited</t>
  </si>
  <si>
    <t>SSHS_1182</t>
  </si>
  <si>
    <t>SHIV SHAKTI AQUA PROCESS</t>
  </si>
  <si>
    <t>SSHS_1062</t>
  </si>
  <si>
    <t>Galaxy Nebula Co-operative housing society limited</t>
  </si>
  <si>
    <t>SSHS_1192</t>
  </si>
  <si>
    <t>Majestique Rhythm County Wing A3 &amp; A4 Sahakari Gruharacha Sanstha Maryadit</t>
  </si>
  <si>
    <t>SSHS_1207</t>
  </si>
  <si>
    <t>Anmol Sankalp Co-Operative Housing Society Limited</t>
  </si>
  <si>
    <t>SSHS_1302</t>
  </si>
  <si>
    <t>Premier Residencies E Co-Operative Housing Society Limited</t>
  </si>
  <si>
    <t>SSHS_1174</t>
  </si>
  <si>
    <t>R N CONSTRUCTIONS</t>
  </si>
  <si>
    <t>Sakhare Guardian Eastern Meadows A-1 Building Co-Operative Housing Soc Ltd</t>
  </si>
  <si>
    <t>SSHS_1331</t>
  </si>
  <si>
    <t>Siddhivinayak Pratima Co-Operative Housing Society Ltd.</t>
  </si>
  <si>
    <t>SSHS_1216</t>
  </si>
  <si>
    <t>Dheeraj Kirti Co-Operative Housing Society Limited</t>
  </si>
  <si>
    <t>SSHS_1229</t>
  </si>
  <si>
    <t>D Decor Exports PL-O&amp;M</t>
  </si>
  <si>
    <t>GOKUL AGRO RESOURCES LIMITED- Haldia</t>
  </si>
  <si>
    <t>CCNI_1200</t>
  </si>
  <si>
    <t>Durga Petals Apartment Owners Condominium</t>
  </si>
  <si>
    <t>Gaurav Regency (ABCD) co-op housing society limited</t>
  </si>
  <si>
    <t>SSHS_1087</t>
  </si>
  <si>
    <t>Poonam Park view E-wing CHS</t>
  </si>
  <si>
    <t>SSHS_1070</t>
  </si>
  <si>
    <t>New Dindoshi Green hills Co-Operative housing society Ltd</t>
  </si>
  <si>
    <t>SSHS_1109</t>
  </si>
  <si>
    <t>Mr. Rajdeep Singh Madan (RH5 Divya Swapna)</t>
  </si>
  <si>
    <t>SSHS_1300</t>
  </si>
  <si>
    <t>SNEH CO-OP. HOUSING SOCIETY LTD</t>
  </si>
  <si>
    <t>SSHS_1111</t>
  </si>
  <si>
    <t>Belgrave Square and Eaton Square Co-operative Housing Society ltd</t>
  </si>
  <si>
    <t>SSHS_1242</t>
  </si>
  <si>
    <t>33 Milestone Co-Operative Housing Society Limited</t>
  </si>
  <si>
    <t>SSHS_1213</t>
  </si>
  <si>
    <t>RB Infra Projects - IT Tower Nizam</t>
  </si>
  <si>
    <t>CCNI_1176</t>
  </si>
  <si>
    <t>Enpro Industries Pvt. Ltd.- Mauli Pratishthan</t>
  </si>
  <si>
    <t>SSHS_1103</t>
  </si>
  <si>
    <t>Shree Govardhan Nagar Co-operative Hosuing Society Limited</t>
  </si>
  <si>
    <t>SSHS_1254</t>
  </si>
  <si>
    <t>Casa Urbano I to T Co-Operative Housing Society Limited</t>
  </si>
  <si>
    <t>SSHS_1340</t>
  </si>
  <si>
    <t>SAI AMBIENCE + SAI VISION CHS</t>
  </si>
  <si>
    <t>SSHS_1081</t>
  </si>
  <si>
    <t>Hotel Vijan Palace</t>
  </si>
  <si>
    <t>CCNI_1251</t>
  </si>
  <si>
    <t>Brigade Properties Pvt Ltd</t>
  </si>
  <si>
    <t>CCNI_1144</t>
  </si>
  <si>
    <t>Vijay Vilas Taurus Building No.11 to 15 CO.OP.HSG.SOC.LTD</t>
  </si>
  <si>
    <t>SSHS_1220</t>
  </si>
  <si>
    <t>YashOne Hinjawadi Building D Co-Operative Housing Society Ltd.</t>
  </si>
  <si>
    <t>SSHS_1219</t>
  </si>
  <si>
    <t>Charm Heights B1 Alps CHS</t>
  </si>
  <si>
    <t>SSHS_1143</t>
  </si>
  <si>
    <t>Vedang Radio Technology Pvt Ltd-O&amp;M</t>
  </si>
  <si>
    <t>Brigade Cornerstone Utopia</t>
  </si>
  <si>
    <t>CCNI_1192</t>
  </si>
  <si>
    <t>SHREE RAM POLYMERS</t>
  </si>
  <si>
    <t>CCNI_1250</t>
  </si>
  <si>
    <t>Indraprastha Complex CHS</t>
  </si>
  <si>
    <t>SSHS_1077</t>
  </si>
  <si>
    <t>Dreams Elina Building-A Co-Operative Housing Society Ltd</t>
  </si>
  <si>
    <t>SSHS_1289</t>
  </si>
  <si>
    <t>Pradip Polyfils Pvt Ltd-O&amp;M</t>
  </si>
  <si>
    <t>Zenworld Wing D Co-Operative Housing Society Limited</t>
  </si>
  <si>
    <t>SSHS_1263</t>
  </si>
  <si>
    <t>Vardhaman Dreams Phase-2 Co-operative Housing Society Limited</t>
  </si>
  <si>
    <t>SSHS_1206</t>
  </si>
  <si>
    <t>Regency Anantam Building no. 18 Molinia CHS LTD.</t>
  </si>
  <si>
    <t>SSHS_1140</t>
  </si>
  <si>
    <t>Premier Residencies 'G' Co-Operative Housing Society Ltd.</t>
  </si>
  <si>
    <t>SSHS_1131</t>
  </si>
  <si>
    <t>Neeta Yarns</t>
  </si>
  <si>
    <t>Mercury Co-Operative Housing Society Limited</t>
  </si>
  <si>
    <t>SSHS_1253</t>
  </si>
  <si>
    <t>Gokul Agro resources limited- Nellore</t>
  </si>
  <si>
    <t>Snehdeep CHS</t>
  </si>
  <si>
    <t>SSHS_1163</t>
  </si>
  <si>
    <t>Perungudi Real Estates Private Limited</t>
  </si>
  <si>
    <t>CCNI_1190</t>
  </si>
  <si>
    <t>Vrindavan garden C &amp; D Wing Co-operative Housing society Limited</t>
  </si>
  <si>
    <t>SSHS_1193</t>
  </si>
  <si>
    <t>Mitir Co-Operative Housing Society Limited</t>
  </si>
  <si>
    <t>SSHS_1191</t>
  </si>
  <si>
    <t>Gokul Shrushti CHS LTD</t>
  </si>
  <si>
    <t>SSHS_1119</t>
  </si>
  <si>
    <t>Balgram NGO</t>
  </si>
  <si>
    <t>SSHS_1150</t>
  </si>
  <si>
    <t>Nova Residency Co-Operative Housing Society Limited</t>
  </si>
  <si>
    <t>SSHS_1252</t>
  </si>
  <si>
    <t>Nilgiri Tower Co-Operative Housing Society Limited</t>
  </si>
  <si>
    <t>SSHS_1262</t>
  </si>
  <si>
    <t>Gokul Agro Resources limited -O&amp;M</t>
  </si>
  <si>
    <t>Prince Pipes - Haridwar-O&amp;M</t>
  </si>
  <si>
    <t>Christos Mar Thoma Church</t>
  </si>
  <si>
    <t>CCNI_1246</t>
  </si>
  <si>
    <t>Xavier Institute of Management &amp; Entrepreneurship</t>
  </si>
  <si>
    <t>CCNI_1264</t>
  </si>
  <si>
    <t>Siena Savanna Co-Operative Housing Society Limited</t>
  </si>
  <si>
    <t>SSHS_1247</t>
  </si>
  <si>
    <t>Runwal Rosewood Co-Operative Housing Society Ltd- O&amp;M</t>
  </si>
  <si>
    <t>Nyati Elysia VI (Apollo B3) Co-operative Housing Society Limited</t>
  </si>
  <si>
    <t>SSHS_1160</t>
  </si>
  <si>
    <t>Premier Residences A CHS LTD</t>
  </si>
  <si>
    <t>SSHS_1040</t>
  </si>
  <si>
    <t>Bramha Avenue Co-Operative Housing Society Ltd.</t>
  </si>
  <si>
    <t>SSHS_1235</t>
  </si>
  <si>
    <t>Atlas Tower CHS</t>
  </si>
  <si>
    <t>SSHS_1199</t>
  </si>
  <si>
    <t>Lunkad Gold Coast Co-Operative Housing Society Ltd.</t>
  </si>
  <si>
    <t>SSHS_1129</t>
  </si>
  <si>
    <t>Raheja Tipco Heights Co-Op. Housing Society Limited-O&amp;M</t>
  </si>
  <si>
    <t>A-11 Aishwaryam Hamara Phase-1 Cooperative Housing society</t>
  </si>
  <si>
    <t>SSHS_1200</t>
  </si>
  <si>
    <t>ROTEX MANUFACTURERS &amp; ENGINEERS PVT LTD- Amit</t>
  </si>
  <si>
    <t>CCNI_1241</t>
  </si>
  <si>
    <t>Balaji Prangan co-op housing society limited</t>
  </si>
  <si>
    <t>CCNI_1228</t>
  </si>
  <si>
    <t>NamakkaL WAREHOUSE - 37.8kwp</t>
  </si>
  <si>
    <t>Xotech B&amp;C Building Sahakari Gruhrachana Sanstha Maryadit</t>
  </si>
  <si>
    <t>SSHS_1251</t>
  </si>
  <si>
    <t>White House Association</t>
  </si>
  <si>
    <t>Archana Paradise Co-Operative Housing Society Limited</t>
  </si>
  <si>
    <t>SSHS_1291</t>
  </si>
  <si>
    <t>Prince Pipes Chennai-O&amp;M</t>
  </si>
  <si>
    <t>Sobha Dewflower Apartment Owners Association</t>
  </si>
  <si>
    <t>SSHS_1098</t>
  </si>
  <si>
    <t>Sai Raj Regency Saharkari Gruharachna Sanstha Maryadit</t>
  </si>
  <si>
    <t>SSHS_1234</t>
  </si>
  <si>
    <t>Palm Atlantis Wing A1A2 Co-Operative Housing Society Limited</t>
  </si>
  <si>
    <t>SSHS_1261</t>
  </si>
  <si>
    <t>Mangal Rajendra Sumbare (Laxmi Khanaval)_19.72Kwp</t>
  </si>
  <si>
    <t>CCNI_1262</t>
  </si>
  <si>
    <t>DSR Ultima Apartment Owners Association</t>
  </si>
  <si>
    <t>SSHS_1218</t>
  </si>
  <si>
    <t>PROPYLON PRODUCTS-O&amp;M</t>
  </si>
  <si>
    <t>DSK Akash Ganga CHS</t>
  </si>
  <si>
    <t>SSHS_1185</t>
  </si>
  <si>
    <t>Parande Homes</t>
  </si>
  <si>
    <t>SSHS_1202</t>
  </si>
  <si>
    <t>Sobha Marvella Apt Owners Association-O&amp;M</t>
  </si>
  <si>
    <t>FORCE MOTORS LIMITED - JHIPL</t>
  </si>
  <si>
    <t>CCNI_1231_JHIPL</t>
  </si>
  <si>
    <t>RUNWAL OAKWOOD CO OP HSG SCO LTD</t>
  </si>
  <si>
    <t>Aranyeshwar Park Phase-2 Co-Operative Housing Society Limited</t>
  </si>
  <si>
    <t>SSHS_1314</t>
  </si>
  <si>
    <t>Nakshtra Residency CHS</t>
  </si>
  <si>
    <t>SSHS_1096</t>
  </si>
  <si>
    <t>Grand Bay A1 Co-Operative Housing Society Limited</t>
  </si>
  <si>
    <t>SSHS_1228</t>
  </si>
  <si>
    <t>Century Real Estate Holdings Pvt Ltd- century ethos</t>
  </si>
  <si>
    <t>CCNI_1185</t>
  </si>
  <si>
    <t>Om Sai Sankul Co-operative Housing Society Limited</t>
  </si>
  <si>
    <t>SSHS_1303</t>
  </si>
  <si>
    <t>Golden Petal ABC wing CHS</t>
  </si>
  <si>
    <t>SSHS_1069</t>
  </si>
  <si>
    <t>Shri Agrawal Health and Education Soc</t>
  </si>
  <si>
    <t>Suyog Leher Co-Operative Housing Society LTD.</t>
  </si>
  <si>
    <t>SSHS_1155</t>
  </si>
  <si>
    <t>Neptune Swaraj CHS</t>
  </si>
  <si>
    <t>SSHS_1122</t>
  </si>
  <si>
    <t>Elite Residence Co-Op. Hsg. Society Ltd.</t>
  </si>
  <si>
    <t>SSHS_1127</t>
  </si>
  <si>
    <t>Maral Overseas Limited-O&amp;M</t>
  </si>
  <si>
    <t>The Suvarnayug Co-Operative Housing Society Ltd.</t>
  </si>
  <si>
    <t>SSHS_1301</t>
  </si>
  <si>
    <t>Rohan Mihira Condominium</t>
  </si>
  <si>
    <t>Dheeraj Valley Building No. 3 CHS LTD</t>
  </si>
  <si>
    <t>SSHS_1074</t>
  </si>
  <si>
    <t>The Manjri Stud Farm Pvt Ltd-SEZ-O&amp;M</t>
  </si>
  <si>
    <t>Madhupushpa Phase 1 Co-operative Housing Society Limited</t>
  </si>
  <si>
    <t>SSHS_1227</t>
  </si>
  <si>
    <t>MARATHE EMPIRE CO-OP. HOUSING SOCIETY LTD</t>
  </si>
  <si>
    <t>SSHS_1108_1</t>
  </si>
  <si>
    <t>JSW MI STEEL PALWAL-O&amp;M</t>
  </si>
  <si>
    <t>Victory Heights Co -Operative Society Limited</t>
  </si>
  <si>
    <t>SSHS_1112</t>
  </si>
  <si>
    <t>SKVMs NMIMS-O&amp;M</t>
  </si>
  <si>
    <t>Blue Ridge The Lofts Co Operative Housing Society Ltd.</t>
  </si>
  <si>
    <t>SSHS_1236</t>
  </si>
  <si>
    <t>Raheja Vistas Co-Operative Housing Society Ltd.</t>
  </si>
  <si>
    <t>SSHS_1180</t>
  </si>
  <si>
    <t>Shri Agarwal Education Public Trust</t>
  </si>
  <si>
    <t>Fleur Hotels (P) Ltd.</t>
  </si>
  <si>
    <t>Vision ACE B Wing Cooperative Housing Society Limited</t>
  </si>
  <si>
    <t>SSHS_1344</t>
  </si>
  <si>
    <t>Christos Mar Thoma Church-O&amp;M</t>
  </si>
  <si>
    <t>Pakeeza Co-Operative Housing Society Limited</t>
  </si>
  <si>
    <t>SSHS_1222</t>
  </si>
  <si>
    <t>Sai Tirupati Greens Mhada Co-Operative Housing Society Limited</t>
  </si>
  <si>
    <t>SSHS_1116</t>
  </si>
  <si>
    <t>Kesley building no.1 CHS</t>
  </si>
  <si>
    <t>SSHS_1128</t>
  </si>
  <si>
    <t>SHRINIWAS WESTSIDE COUNTY CHS LTD</t>
  </si>
  <si>
    <t>SSHS_1097</t>
  </si>
  <si>
    <t>OM Siddhi Tower CHS LTD</t>
  </si>
  <si>
    <t>SSHS_1091</t>
  </si>
  <si>
    <t>NIF Mechanical Works Pvt Ltd</t>
  </si>
  <si>
    <t>CCNI_1223</t>
  </si>
  <si>
    <t>Ravi Garden CHS</t>
  </si>
  <si>
    <t>SSHS_1170</t>
  </si>
  <si>
    <t>RANKA AQUAGREENS OWNERS ASSOCIATION</t>
  </si>
  <si>
    <t>SSHS_1079</t>
  </si>
  <si>
    <t>Ganga Vatica Sahakari Gruharachna Sanstha Maryadit</t>
  </si>
  <si>
    <t>SSHS_1104</t>
  </si>
  <si>
    <t>N G Park Bldg.-4A Co-operative Housing Society Ltd.</t>
  </si>
  <si>
    <t>SSHS_1204</t>
  </si>
  <si>
    <t>Kundan Altura B Wing Sahakari Gruharachana Sanstha Maryadit</t>
  </si>
  <si>
    <t>SSHS_1366</t>
  </si>
  <si>
    <t>Silver Crest Co-Op. HSG. Society LTD</t>
  </si>
  <si>
    <t>SSHS_1124</t>
  </si>
  <si>
    <t>DIGI1 ELECTRONICS PRIVATE LIMITED-O&amp;M</t>
  </si>
  <si>
    <t>N. G. Thakkar &amp; Sons- O&amp;M</t>
  </si>
  <si>
    <t>Venkatesh Graffiti Q Wing Co-Operative Housing Society Limited</t>
  </si>
  <si>
    <t>SSHS_1290</t>
  </si>
  <si>
    <t>Voyage Co-Operative Housing Society Limited</t>
  </si>
  <si>
    <t>SSHS_1328</t>
  </si>
  <si>
    <t>DHARAMPAL SATYAPAL FOODS LIMITED</t>
  </si>
  <si>
    <t>GYANDHARA INDUSTRIES PRIVATE LIMITED- O&amp;M</t>
  </si>
  <si>
    <t>Prince Pipes - Athal- O&amp;M</t>
  </si>
  <si>
    <t>Prince Pipes - Jaipur-O&amp;M</t>
  </si>
  <si>
    <t>Prince Pipes - Telangana-O&amp;M</t>
  </si>
  <si>
    <t>ROTEX MANUFACTURERS AND ENGINEERS PRIVAT</t>
  </si>
  <si>
    <t>Raheja Tipco Heights CHS Ltd</t>
  </si>
  <si>
    <t>SSHS_1115</t>
  </si>
  <si>
    <t>Mangalam Ecstasy Resident Welfare Association</t>
  </si>
  <si>
    <t>SSHS_1138</t>
  </si>
  <si>
    <t>Konark Krish Co-Operative Housing Society Ltd</t>
  </si>
  <si>
    <t>SSHS_1171</t>
  </si>
  <si>
    <t>Dosti Elmore (Planet North) Co-op. Housing Society Ltd</t>
  </si>
  <si>
    <t>SSHS_1189</t>
  </si>
  <si>
    <t>72 EMPIRE PREMISES CONDOMINIUM</t>
  </si>
  <si>
    <t>SSHS_1210</t>
  </si>
  <si>
    <t>Marathon Monte Vista Co-Operative Housing Society Limited</t>
  </si>
  <si>
    <t>SSHS_1196</t>
  </si>
  <si>
    <t>MONT VERT SEVILLE CO-OPERATIVE HOUSING SOCIETY LIMITED</t>
  </si>
  <si>
    <t>SSHS_1230</t>
  </si>
  <si>
    <t>NEELSIDHI ATLANTIS CO-OPERATIVE HOUSING SOCIETY LIMITED</t>
  </si>
  <si>
    <t>SSHS_1240</t>
  </si>
  <si>
    <t>JD Shubharambh Saharkari Gruhrachna Sanstha Maryadit</t>
  </si>
  <si>
    <t>SSHS_1226</t>
  </si>
  <si>
    <t>Nature's Pride 2-West Wind Meadows CHS</t>
  </si>
  <si>
    <t>SSHS_1224</t>
  </si>
  <si>
    <t>Atla Monte Tower Co-Operative Housing Society Ltd.</t>
  </si>
  <si>
    <t>SSHS_1237</t>
  </si>
  <si>
    <t>RHR MEDICARE PRIVATE LIMITED</t>
  </si>
  <si>
    <t>CCNI_1257</t>
  </si>
  <si>
    <t>Apollo SAGE Hospital</t>
  </si>
  <si>
    <t>CCNI_1252</t>
  </si>
  <si>
    <t>7 Plumeria Drive Co-Operative Housing Societies Federation LTD_(STP)</t>
  </si>
  <si>
    <t>SSHS_1257</t>
  </si>
  <si>
    <t>Rajhans Kshitij Aspen CHS LTD</t>
  </si>
  <si>
    <t>SSHS_1259</t>
  </si>
  <si>
    <t>10 Elite Co-Operative Housing Society Limited</t>
  </si>
  <si>
    <t>SSHS_1250</t>
  </si>
  <si>
    <t>Amar serenity Saharkari Gryharachana Sanstha Maryadit</t>
  </si>
  <si>
    <t>SSHS_1265</t>
  </si>
  <si>
    <t>Time Square Premises Co-Operative Society Ltd.</t>
  </si>
  <si>
    <t>SSHS_1279</t>
  </si>
  <si>
    <t>Grow More Co-Operative Housing Society</t>
  </si>
  <si>
    <t>SSHS_1282</t>
  </si>
  <si>
    <t>Swarnavilas Co-Operative Housing Society Limited</t>
  </si>
  <si>
    <t>SSHS_1283</t>
  </si>
  <si>
    <t>Kunal Aspiree F Wing Co-Operative Housing Society Limited</t>
  </si>
  <si>
    <t>SSHS_1284</t>
  </si>
  <si>
    <t>Aurum Elementto CHS</t>
  </si>
  <si>
    <t>SSHS_1295</t>
  </si>
  <si>
    <t>Akshaykiran Petroleum</t>
  </si>
  <si>
    <t>CCNI_1249</t>
  </si>
  <si>
    <t>Akshay Enterprises</t>
  </si>
  <si>
    <t>CCNI_1248</t>
  </si>
  <si>
    <t>Sarthak Beaulieu Co-Operative Housing Society Limited</t>
  </si>
  <si>
    <t>SSHS_1168</t>
  </si>
  <si>
    <t>Alekhya Property Developments Private Limited (Adarsh Lakefront)</t>
  </si>
  <si>
    <t>SSHS_1294</t>
  </si>
  <si>
    <t>Sakhare Guardian Eastern Meadows C-1 Building Sahakari Grih Rachana Maryadit</t>
  </si>
  <si>
    <t>SSHS_1146</t>
  </si>
  <si>
    <t>Man Opus Building No 8 &amp; 9 Co-Operative Housing Society Limited</t>
  </si>
  <si>
    <t>SSHS_1305</t>
  </si>
  <si>
    <t>Sirvi Heritage Co-Operative Housing Society Limited</t>
  </si>
  <si>
    <t>SSHS_1306</t>
  </si>
  <si>
    <t>Optima Heights Co-Operative Housing Society Limited</t>
  </si>
  <si>
    <t>SSHS_1320</t>
  </si>
  <si>
    <t>Umang Premier Apartments</t>
  </si>
  <si>
    <t>SSHS_1317</t>
  </si>
  <si>
    <t>Annapurna Swami (AMB Food Products)</t>
  </si>
  <si>
    <t>RSSEMP4581</t>
  </si>
  <si>
    <t>Shree Madhuban Co-Operative Housing Society Limited</t>
  </si>
  <si>
    <t>SSHS_1327</t>
  </si>
  <si>
    <t>Jaya Hind Industries Private Limited (Pithampur)</t>
  </si>
  <si>
    <t>CCNI_1263</t>
  </si>
  <si>
    <t>Shreeram Sahakari Gruhanirman Sanstha Maryadit</t>
  </si>
  <si>
    <t>SSHS_1324</t>
  </si>
  <si>
    <t>Delhi Swad_19.52Kwp</t>
  </si>
  <si>
    <t>SSHS_1325</t>
  </si>
  <si>
    <t>Rising Star Steel Private Limited</t>
  </si>
  <si>
    <t>CCNI_1265</t>
  </si>
  <si>
    <t>Sanvi Heights Co-Operative Housing Society Limited</t>
  </si>
  <si>
    <t>SSHS_1336</t>
  </si>
  <si>
    <t>Little Earth Masulkar City Building B12 Co-Operative Housing Society Limited</t>
  </si>
  <si>
    <t>SSHS_1337</t>
  </si>
  <si>
    <t>Prisma Square Co-Operative Housing Society Limited</t>
  </si>
  <si>
    <t>SSHS_1345</t>
  </si>
  <si>
    <t>Suraj Mahal Co-Operative Housing Society Limited</t>
  </si>
  <si>
    <t>SSHS_1353</t>
  </si>
  <si>
    <t>Tulsi Aarambh Co Op Hsg Soc LTD</t>
  </si>
  <si>
    <t>SSHS_1354</t>
  </si>
  <si>
    <t>Meghna Co-Operative Housing Society Limited</t>
  </si>
  <si>
    <t>SSHS_1322</t>
  </si>
  <si>
    <t>Laxmi Garden Phase II Wing C Sahakari Gruh Rachna Sanstha Maryadit</t>
  </si>
  <si>
    <t>SSHS_1359</t>
  </si>
  <si>
    <t>Cirrus Co-Operative Housing Society Limited</t>
  </si>
  <si>
    <t>SSHS_1357</t>
  </si>
  <si>
    <t>Moroccan Cooperative Housing Society Limited</t>
  </si>
  <si>
    <t>SSHS_1360</t>
  </si>
  <si>
    <t>Mantra Insignia A - B Cooperative Housing Society Limited</t>
  </si>
  <si>
    <t>SSHS_1362</t>
  </si>
  <si>
    <t>Unique Lifestyle Cooperative Housing Society Limited</t>
  </si>
  <si>
    <t>SSHS_1361</t>
  </si>
  <si>
    <t>Sthaayin Shreshtha Co-Operative Housing Society Limited</t>
  </si>
  <si>
    <t>SSHS_1367</t>
  </si>
  <si>
    <t>Little Flowers Building No-9 Co-Op Housing Society</t>
  </si>
  <si>
    <t>SSHS_1389</t>
  </si>
  <si>
    <t>Vasant Pride Co-Operative Housing Society Limited</t>
  </si>
  <si>
    <t>SSHS_1390</t>
  </si>
  <si>
    <t>Metro Residency Tower - B Co-Op Hsg Soc Limited</t>
  </si>
  <si>
    <t>SSHS_1391</t>
  </si>
  <si>
    <t>Chakala Pragati Co-Op Housing Society Limited</t>
  </si>
  <si>
    <t>SSHS_1392</t>
  </si>
  <si>
    <t>Artemis Co-Operative Housing Society Limited</t>
  </si>
  <si>
    <t>SSHS_1372</t>
  </si>
  <si>
    <t>Unnati Phej 1 Sahkaree Garhachna Santha Marya</t>
  </si>
  <si>
    <t>SSHS_1370</t>
  </si>
  <si>
    <t>Sunshree The Gold Cooperative Housing Society Limited</t>
  </si>
  <si>
    <t>SSHS_1377</t>
  </si>
  <si>
    <t>Arjuna Garden Enclave Co Op Housing Society Limited</t>
  </si>
  <si>
    <t>SSHS_1380</t>
  </si>
  <si>
    <t>Sai Riverdale Co Op Hsg Soc Ltd</t>
  </si>
  <si>
    <t>SSHS_1381</t>
  </si>
  <si>
    <t>Ojas Apartments</t>
  </si>
  <si>
    <t>SSHS_1350</t>
  </si>
  <si>
    <t>Navjeevan Sundarban Co-Operative Housing Society</t>
  </si>
  <si>
    <t>SSHS_1382</t>
  </si>
  <si>
    <t>Swarajya Complex C Wing CHSL L</t>
  </si>
  <si>
    <t>SSHS_1371</t>
  </si>
  <si>
    <t>Omkar Empire Co Op Housing Society Kharghar</t>
  </si>
  <si>
    <t>SSHS_1388</t>
  </si>
  <si>
    <t>Tulsi Eklavya Co-Operative Housing Society Limited</t>
  </si>
  <si>
    <t>SSHS_1319</t>
  </si>
  <si>
    <t>Ashford Royale D Wing CHS Limited</t>
  </si>
  <si>
    <t>SSHS_1433</t>
  </si>
  <si>
    <t>Nano Homes Sahakari Gruhrachana Society Limited</t>
  </si>
  <si>
    <t>SSHS_1415</t>
  </si>
  <si>
    <t>Marathon MBRYO Co-Op Housing Society</t>
  </si>
  <si>
    <t>SSHS_1396</t>
  </si>
  <si>
    <t>Nyati Ebony CO OPERATIVE HOUSING SOCIETY LIMITED</t>
  </si>
  <si>
    <t>SSHS_1425</t>
  </si>
  <si>
    <t>Nakshatra Phase 1 Sahakari Gruchrachna Sanstha Maryadit</t>
  </si>
  <si>
    <t>SSHS_1404</t>
  </si>
  <si>
    <t>Spring hills Shree Taljai Devi Sahakari Gruchrachana Sanstha Maryadit</t>
  </si>
  <si>
    <t>SSHS_1426</t>
  </si>
  <si>
    <t>Lodha Aqua Co OP Housing Society Limited</t>
  </si>
  <si>
    <t>SSHS_1422</t>
  </si>
  <si>
    <t>Shree Nidhi Sahakari Gruchrachna Sansthya Maryadit</t>
  </si>
  <si>
    <t>SSHS_1428</t>
  </si>
  <si>
    <t>Swastik Garden CO OP HSG SOC LTD</t>
  </si>
  <si>
    <t>SSHS_1420</t>
  </si>
  <si>
    <t>Parkland Co Operative Housing Society Limited</t>
  </si>
  <si>
    <t>SSHS_1410</t>
  </si>
  <si>
    <t>Exotica Eastern Court Appartment Owners Assocaiation</t>
  </si>
  <si>
    <t>SSHS_1407</t>
  </si>
  <si>
    <t>Shree Ambika Complex Sahakari Gruhnirman Sanstha Maryadit</t>
  </si>
  <si>
    <t>SSHS_1397</t>
  </si>
  <si>
    <t>Park Grandeur Co-Op Housing Society Limited</t>
  </si>
  <si>
    <t>SSHS_1402</t>
  </si>
  <si>
    <t>Renaissance Temple Bells Apartment Owners Welfare Association</t>
  </si>
  <si>
    <t>SSHS_1406</t>
  </si>
  <si>
    <t>Flora Co-Operative Housing Society Limited</t>
  </si>
  <si>
    <t>SSHS_1386</t>
  </si>
  <si>
    <t>Ganesh Power Equipment Private Limited</t>
  </si>
  <si>
    <t>CCNI_1269</t>
  </si>
  <si>
    <t>Astraea Rustomjee Co-Op Housing Society Limited</t>
  </si>
  <si>
    <t>SSHS_1403</t>
  </si>
  <si>
    <t>Unnathi Woods G 3 Co Op Hsg Soc Ltd</t>
  </si>
  <si>
    <t>SSHS_1384</t>
  </si>
  <si>
    <t>Chintamani Sankul Sahkari Gruhrachana Sanstha Maryadit</t>
  </si>
  <si>
    <t>SSHS_1414</t>
  </si>
  <si>
    <t>Laxmi Shantiban Wing F Fez 3 Sahakari Gruhrachana Sanstha Maryadit</t>
  </si>
  <si>
    <t>SSHS_1418</t>
  </si>
  <si>
    <t>Alcon Renaissant CO-OP HSG. SOC. LIMITED</t>
  </si>
  <si>
    <t>SSHS_1429</t>
  </si>
  <si>
    <t>Prestige Silver Crest Apartment Owners Association</t>
  </si>
  <si>
    <t>SSHS_1431</t>
  </si>
  <si>
    <t>Swapanganga Sahkari Gruhrachana Sanstha Maryadit</t>
  </si>
  <si>
    <t>SSHS_1436</t>
  </si>
  <si>
    <t>Nyati Environ Co Op Housing Society Limited</t>
  </si>
  <si>
    <t>SSHS_1437</t>
  </si>
  <si>
    <t>Pristine Aakansha Co- Op Housing Society Ltd</t>
  </si>
  <si>
    <t>SSHS_1438</t>
  </si>
  <si>
    <t>Shirpur Construction Pvt Ltd</t>
  </si>
  <si>
    <t>Shriram Whitehouse Apartments</t>
  </si>
  <si>
    <t>7 Plumeria Drive Co-Operative Housing Societies Federation LTD_179.85Kwp</t>
  </si>
  <si>
    <t>SSHS_1285</t>
  </si>
  <si>
    <t>Paras Basera Co-Op Hsg Society Ltd</t>
  </si>
  <si>
    <t>SSHS_1441</t>
  </si>
  <si>
    <t>Bhoomi Heights CHS LTD</t>
  </si>
  <si>
    <t>SSHS_1432</t>
  </si>
  <si>
    <t>Rustomjee Regency IV Co-Op Housing Society Limited</t>
  </si>
  <si>
    <t>SSHS_1442</t>
  </si>
  <si>
    <t>Dewdale Co-Operative Housing Society Limited</t>
  </si>
  <si>
    <t>SSHS_1443</t>
  </si>
  <si>
    <t>Khushi Residency Co Op Housing Society Limited</t>
  </si>
  <si>
    <t>SSHS_1446</t>
  </si>
  <si>
    <t>Krishna Sarang Galaxy Chs Ltd</t>
  </si>
  <si>
    <t>SSHS_1447</t>
  </si>
  <si>
    <t>Rhythm Co Operative Housing Society Limited</t>
  </si>
  <si>
    <t>SSHS_1452</t>
  </si>
  <si>
    <t>Mira Road Sahyadri Co-Operative Housing Society</t>
  </si>
  <si>
    <t>SSHS_1453</t>
  </si>
  <si>
    <t>Briz Co-Op Housing Society Limited</t>
  </si>
  <si>
    <t>SSHS_1454</t>
  </si>
  <si>
    <t>FRIGORIFICO ALLANA PRIVATE LIMITED</t>
  </si>
  <si>
    <t>CCNI_1261</t>
  </si>
  <si>
    <t>Apostrophe Next Sahakari Gruharachana Sanstha Maryadit</t>
  </si>
  <si>
    <t>SSHS_1469</t>
  </si>
  <si>
    <t>Gurumauli Vihar Co Operative Housing Society Limited</t>
  </si>
  <si>
    <t>SSHS_1463</t>
  </si>
  <si>
    <t>Silvana County Cooperative Housing Society</t>
  </si>
  <si>
    <t>SSHS_1462</t>
  </si>
  <si>
    <t>Green Park Co Op Hsg Soc Ltd</t>
  </si>
  <si>
    <t>SSHS_1461</t>
  </si>
  <si>
    <t>Neelkanth Alpine Co-Op Hsg Society Ltd</t>
  </si>
  <si>
    <t>SSHS_1458</t>
  </si>
  <si>
    <t>Blue Mist Co-Operative Housing Society Limited</t>
  </si>
  <si>
    <t>SSHS_1455</t>
  </si>
  <si>
    <t>Allure Sahakari Griharachana Sanstha Maryadit</t>
  </si>
  <si>
    <t>SSHS_1416</t>
  </si>
  <si>
    <t>Sai Nisarg Park Phase II Bldg- B Sahkari Gruhrachna Sanstha</t>
  </si>
  <si>
    <t>SSHS_1374</t>
  </si>
  <si>
    <t>29 Gold Coast C1 To C5 Co-Operative Housing Society Limited</t>
  </si>
  <si>
    <t>SSHS_1364</t>
  </si>
  <si>
    <t>Shubhkalash Sahakari Gruharachana Sanstha Maryadit</t>
  </si>
  <si>
    <t>SSHS_1313</t>
  </si>
  <si>
    <t>G' Building Florentine Co-Operative Housing Society Limited</t>
  </si>
  <si>
    <t>SSHS_1276</t>
  </si>
  <si>
    <t>G M FABRICS PRIVATE LIMITED</t>
  </si>
  <si>
    <t>CCNI_1277</t>
  </si>
  <si>
    <t>SEQUOIA ENGINEERING LLP</t>
  </si>
  <si>
    <t>CCNI_1276</t>
  </si>
  <si>
    <t>Empire Mall Private Limited</t>
  </si>
  <si>
    <t>CCNI_1275</t>
  </si>
  <si>
    <t>D'Decor Exports Private Limited_Revamp</t>
  </si>
  <si>
    <t>CCNI_1273</t>
  </si>
  <si>
    <t>Tulip Co-OP Housing Society Limited</t>
  </si>
  <si>
    <t>SSHS_1385</t>
  </si>
  <si>
    <t>Royal Glory Sahkari Gruhrachna Sanstha Maryadit</t>
  </si>
  <si>
    <t>SSHS_1399</t>
  </si>
  <si>
    <t>Jaya Hind Industries Private Limited _O&amp;M</t>
  </si>
  <si>
    <t>Sobha Petunia Apartment Owners Association</t>
  </si>
  <si>
    <t>SSHS_1474</t>
  </si>
  <si>
    <t>Emmemm Motors India Private Limited</t>
  </si>
  <si>
    <t>CCNI_1271</t>
  </si>
  <si>
    <t>Badshah Nagar Sahakari Gruhrachana Sanstha Maryadit</t>
  </si>
  <si>
    <t>SSHS_1472</t>
  </si>
  <si>
    <t>Nirmaan Puram Sahkari Gruhrachana Sanstha Maryadit</t>
  </si>
  <si>
    <t>SSHS_1473</t>
  </si>
  <si>
    <t>Shivshakti Co Op Housing Society Ltd</t>
  </si>
  <si>
    <t>SSHS_1477</t>
  </si>
  <si>
    <t>Geras Emrald City Baner Condominum</t>
  </si>
  <si>
    <t>SSHS_1480</t>
  </si>
  <si>
    <t>Ornet Heights Co-Operative Housing Society Limited</t>
  </si>
  <si>
    <t>SSHS_1464</t>
  </si>
  <si>
    <t>Jalvayu Towers Apartment Owners Association</t>
  </si>
  <si>
    <t>SSHS_1471</t>
  </si>
  <si>
    <t>DS Vrindavan CO Op Housing Society Limited</t>
  </si>
  <si>
    <t>SSHS_1481</t>
  </si>
  <si>
    <t>Namrata Aikonic Ph-II Sahakari Grucharachana Sanstha Maryadit</t>
  </si>
  <si>
    <t>SSHS_1482</t>
  </si>
  <si>
    <t>Legacy Millennia A Wing Sahakari Grucharachana Sanstha Maryadit</t>
  </si>
  <si>
    <t>SSHS_1483</t>
  </si>
  <si>
    <t>ELITE Platina Cooperative Housing Society Limited</t>
  </si>
  <si>
    <t>SSHS_1484</t>
  </si>
  <si>
    <t>Aparna Elina Residents Welfare Association</t>
  </si>
  <si>
    <t>SSHS_1489</t>
  </si>
  <si>
    <t>Utsav Sahakari Gruhrachana Sanstha Maryadit</t>
  </si>
  <si>
    <t>SSHS_1466</t>
  </si>
  <si>
    <t>Sachdev Complex Co Operative Housing Society Ltd</t>
  </si>
  <si>
    <t>SSHS_1304</t>
  </si>
  <si>
    <t>Ritu world O and P Co-Operative Housing Society Limited</t>
  </si>
  <si>
    <t>SSHS_1499</t>
  </si>
  <si>
    <t>Solacia E1 and E2 Co Op Housing Society Limited</t>
  </si>
  <si>
    <t>SSHS_1498</t>
  </si>
  <si>
    <t>Shree Guruganesh Nagar Co Op Hoosing Society</t>
  </si>
  <si>
    <t>SSHS_1497</t>
  </si>
  <si>
    <t>SUPREME ESTIA WING B Co-Operative Housing Society Limited</t>
  </si>
  <si>
    <t>SSHS_1492</t>
  </si>
  <si>
    <t>Progressive's Grande Co-Operative Housing Society Limited</t>
  </si>
  <si>
    <t>SSHS_1494</t>
  </si>
  <si>
    <t>Empire Residency CHS LTD</t>
  </si>
  <si>
    <t>SSHS_1491</t>
  </si>
  <si>
    <t>Neelsidhi Splendour Co-Operative Housing Society Limited</t>
  </si>
  <si>
    <t>SSHS_1280</t>
  </si>
  <si>
    <t>Salarpuria Symphony Apartment Owners Association</t>
  </si>
  <si>
    <t>SSHS_1470</t>
  </si>
  <si>
    <t>Laxman Villa Co-Operative Housing Society</t>
  </si>
  <si>
    <t>SSHS_1504</t>
  </si>
  <si>
    <t>Jai Ganesh Samrajya F4 Unit Co Op Hsg Soc Limited</t>
  </si>
  <si>
    <t>SSHS_1505</t>
  </si>
  <si>
    <t>Siddhashila Madhuban Co Operative Housing Society Limited</t>
  </si>
  <si>
    <t>SSHS_1506</t>
  </si>
  <si>
    <t>N G Canary Phase-1 A Wing Co-Op Housing Society Limited</t>
  </si>
  <si>
    <t>SSHS_1508</t>
  </si>
  <si>
    <t>Elmore C Wing (Dosti Planet North) CHS LTD</t>
  </si>
  <si>
    <t>SSHS_1417</t>
  </si>
  <si>
    <t>Quality lifestyle Owners Association</t>
  </si>
  <si>
    <t>SSHS_1511</t>
  </si>
  <si>
    <t>Casa 7 Co-Operative Housing Society Limited</t>
  </si>
  <si>
    <t>SSHS_1509</t>
  </si>
  <si>
    <t>Sun Orion Sahakari Grucharachana Sanstha Maryadit</t>
  </si>
  <si>
    <t>SSHS_1451</t>
  </si>
  <si>
    <t>Trident Co- Operative Housing Society Limited</t>
  </si>
  <si>
    <t>SSHS_1510</t>
  </si>
  <si>
    <t>Casa Rio Building E1 E2 Sahakari Gruchrachna Sanstha Maryadit</t>
  </si>
  <si>
    <t>SSHS_1515</t>
  </si>
  <si>
    <t>Skyline Surabhi Apartment Owner's Association</t>
  </si>
  <si>
    <t>SSHS_1514</t>
  </si>
  <si>
    <t>Raheja Classique- 5 Co-Operative Housing Society Limited</t>
  </si>
  <si>
    <t>SSHS_1512</t>
  </si>
  <si>
    <t>Mainland Valencia Gruharachna Sahakari Sanstha Maryadit</t>
  </si>
  <si>
    <t>SSHS_1502</t>
  </si>
  <si>
    <t>Rosewoods Sahakari Gruchrachana Sanstha Maryadit</t>
  </si>
  <si>
    <t>SSHS_1507</t>
  </si>
  <si>
    <t>Prestige Royale Gardens Apartment Owners Association</t>
  </si>
  <si>
    <t>SSHS_1526</t>
  </si>
  <si>
    <t>Benzer Tower Co-Opertive Housing Society Limited</t>
  </si>
  <si>
    <t>SSHS_1522</t>
  </si>
  <si>
    <t>Regulus Sahakari Gruh Rachana Sanstha Maryadit</t>
  </si>
  <si>
    <t>SSHS_1530</t>
  </si>
  <si>
    <t>Gini Viviana Co-Operative Housing Society Limited</t>
  </si>
  <si>
    <t>SSHS_1348</t>
  </si>
  <si>
    <t>United Park Co-Operative Housing Society Limited</t>
  </si>
  <si>
    <t>SSHS_1376</t>
  </si>
  <si>
    <t>Ratna Mohan CO OPERATIVE HSG SOCIETY LIMITED</t>
  </si>
  <si>
    <t>SSHS_1423</t>
  </si>
  <si>
    <t>Silicon Tower Building A B C And D Co Operative Housing Society Limited</t>
  </si>
  <si>
    <t>SSHS_1490</t>
  </si>
  <si>
    <t>Royal Rohana Sahakari Gruhrachana Sanstha Maryadit</t>
  </si>
  <si>
    <t>SSHS_1513</t>
  </si>
  <si>
    <t>Urban Space Phase-1 Building D Condominium</t>
  </si>
  <si>
    <t>SSHS_1495</t>
  </si>
  <si>
    <t>Touch of India</t>
  </si>
  <si>
    <t>CCNI_1272</t>
  </si>
  <si>
    <t>Rose County Co-Operative Housing Society</t>
  </si>
  <si>
    <t>SSHS_1465</t>
  </si>
  <si>
    <t>Ganga Amber Building H Sahakari Gruhrachana Sanstha Maryadit</t>
  </si>
  <si>
    <t>SSHS_1529</t>
  </si>
  <si>
    <t>Skyi Star Town Building No.7 Cooperative Housing Society Limited</t>
  </si>
  <si>
    <t>SSHS_1546</t>
  </si>
  <si>
    <t>Shiv Parvati Cooperative Housing Society Limited</t>
  </si>
  <si>
    <t>SSHS_1547</t>
  </si>
  <si>
    <t>Shubhlaksh Residency Sahakari Grucharachana Sanstha Maryit</t>
  </si>
  <si>
    <t>SSHS_1537</t>
  </si>
  <si>
    <t>Aristolia Wing-A Wing-B Wing-C Co-Operative Housing Society Limited</t>
  </si>
  <si>
    <t>SSHS_1460</t>
  </si>
  <si>
    <t>Vastu Tower F Type Building Sahakari Gruhrachana Sanstha Maryadit</t>
  </si>
  <si>
    <t>SSHS_1559</t>
  </si>
  <si>
    <t>Bhakti Ornate CO OP HSG SOC</t>
  </si>
  <si>
    <t>SSHS_1544</t>
  </si>
  <si>
    <t>Eco Palms Co-Operative Housing Society Ltd</t>
  </si>
  <si>
    <t>SSHS_1549</t>
  </si>
  <si>
    <t>Nayantara Empire Co-Operative Housing Society Limited</t>
  </si>
  <si>
    <t>SSHS_1269</t>
  </si>
  <si>
    <t>Pehla Ghar Shubh Sanket Co-Operative Housing Society Limited</t>
  </si>
  <si>
    <t>SSHS_1358</t>
  </si>
  <si>
    <t>Riddhi Siddhi Avenue Sahakari Gruhrachana Sanstha Maryadit</t>
  </si>
  <si>
    <t>SSHS_1408</t>
  </si>
  <si>
    <t>YashOne Hinjawadi Building E Sahakari Grucharachana Sanstha Maryadit</t>
  </si>
  <si>
    <t>SSHS_1400</t>
  </si>
  <si>
    <t>Swapnalok Sahkari Gruhrachana Sanstha Maryadit</t>
  </si>
  <si>
    <t>SSHS_1375</t>
  </si>
  <si>
    <t>Shubh Gateway Co-Op. Hsg. Soc. Limited</t>
  </si>
  <si>
    <t>SSHS_1398</t>
  </si>
  <si>
    <t>Bajirao Park CO-OP Housing Society Limited</t>
  </si>
  <si>
    <t>SSHS_1434</t>
  </si>
  <si>
    <t>Sara B &amp; C Building Co Operative Housing Society Limited</t>
  </si>
  <si>
    <t>SSHS_1439</t>
  </si>
  <si>
    <t>Force Motors Limited - O&amp;M</t>
  </si>
  <si>
    <t>Ravi Rachana Co-Operative Housing Society Limited</t>
  </si>
  <si>
    <t>SSHS_1516</t>
  </si>
  <si>
    <t>Ghansoli Hari Complex Co-Operative Housing Society Limited</t>
  </si>
  <si>
    <t>SSHS_1520</t>
  </si>
  <si>
    <t>Kulchandra Trust (Mukti Society)</t>
  </si>
  <si>
    <t>SSHS_1564</t>
  </si>
  <si>
    <t>Himalaya Tower Residents Welfare Association</t>
  </si>
  <si>
    <t>SSHS_1409</t>
  </si>
  <si>
    <t>Kanakia Silicon Valley Tower A (Alviso) CoOp Housing Society Limited</t>
  </si>
  <si>
    <t>SSHS_1579</t>
  </si>
  <si>
    <t>Hyde Park CoOperative Housing Society Limited</t>
  </si>
  <si>
    <t>SSHS_1266</t>
  </si>
  <si>
    <t>Broadway Building A and B Sahakari Gruhrachana Sanstha Maryadit</t>
  </si>
  <si>
    <t>SSHS_1341</t>
  </si>
  <si>
    <t>Palacia Phase II Co Operative Housing Society Limited</t>
  </si>
  <si>
    <t>SSHS_1413</t>
  </si>
  <si>
    <t>Savali Saffron Sahkari Gruhrachana Sanstha Maryadit</t>
  </si>
  <si>
    <t>SSHS_1427</t>
  </si>
  <si>
    <t>D'Decor Exports Private Limited</t>
  </si>
  <si>
    <t>CCNI_1274</t>
  </si>
  <si>
    <t>Simran Majestic CoOp Hsg  Society Ltd</t>
  </si>
  <si>
    <t>SSHS_1468</t>
  </si>
  <si>
    <t>Zinnea Co.Op Housing Society  Ltd</t>
  </si>
  <si>
    <t>Prestige IVY Terraces Apartment Owners Association</t>
  </si>
  <si>
    <t>SSHS_1519</t>
  </si>
  <si>
    <t>BANGALORE INTERNATIONAL SCHOOL</t>
  </si>
  <si>
    <t>CCNI_1280</t>
  </si>
  <si>
    <t>Renuka Avishkar Cooperative Housing Society Limited</t>
  </si>
  <si>
    <t>SSHS_1478</t>
  </si>
  <si>
    <t>Sai Blossom Sahakari Gruharachana Sanstha Marayadit</t>
  </si>
  <si>
    <t>SSHS_1524</t>
  </si>
  <si>
    <t>Riverdale Heights CoOperative Housing Society Limited</t>
  </si>
  <si>
    <t>SSHS_1539</t>
  </si>
  <si>
    <t>Pancharatna C Sahakari Gruharachana Sanstha Marayadit</t>
  </si>
  <si>
    <t>SSHS_1540</t>
  </si>
  <si>
    <t>Neco Beaumont Co Op Hsg Soc Limited</t>
  </si>
  <si>
    <t>SSHS_1548</t>
  </si>
  <si>
    <t>New Desai Villa Co Operative Housing Society Limited</t>
  </si>
  <si>
    <t>SSHS_1550</t>
  </si>
  <si>
    <t>Sai Datta Paradise B Wing Sahkari Gruhrachana Sanstha Maryadit</t>
  </si>
  <si>
    <t>SSHS_1551</t>
  </si>
  <si>
    <t>Grand View 7 Building H CoOperative Housing Society Ltd</t>
  </si>
  <si>
    <t>SSHS_1552</t>
  </si>
  <si>
    <t>Riddhi Siddhi Towers Co Operative Housing Society Limited</t>
  </si>
  <si>
    <t>SSHS_1555</t>
  </si>
  <si>
    <t>Silver Stone Sahakari Gruhrachana Sanstha Maryadit</t>
  </si>
  <si>
    <t>SSHS_1557</t>
  </si>
  <si>
    <t>Goyal Residency B Co Op Housing Society Limited</t>
  </si>
  <si>
    <t>SSHS_1561</t>
  </si>
  <si>
    <t>Joy Valencia Co Op Housing Society Ltd</t>
  </si>
  <si>
    <t>SSHS_1567</t>
  </si>
  <si>
    <t>Nea Sahakari Grahrachna Sanstha Marya</t>
  </si>
  <si>
    <t>SSHS_1569</t>
  </si>
  <si>
    <t>OSO Polar Clean Tech Private Limited</t>
  </si>
  <si>
    <t>CCNI_1282</t>
  </si>
  <si>
    <t>Adi Aventura Sahakari Gruchrachan Sanstha Maryadit</t>
  </si>
  <si>
    <t>SSHS_1571</t>
  </si>
  <si>
    <t>Bhoomi Sagar CHS</t>
  </si>
  <si>
    <t>SSHS_1582</t>
  </si>
  <si>
    <t>Goldville Sahakari Graharachana Sanstha Maryadit</t>
  </si>
  <si>
    <t>SSHS_1578</t>
  </si>
  <si>
    <t>Mithali HeightsCo Operative Housing Society Limited</t>
  </si>
  <si>
    <t>SSHS_1570</t>
  </si>
  <si>
    <t>Om Shivam Arjun Co Op Hsg Soc Limited</t>
  </si>
  <si>
    <t>SSHS_1580</t>
  </si>
  <si>
    <t>Space Heights Co Op Hsg Society Ltd</t>
  </si>
  <si>
    <t>SSHS_1583</t>
  </si>
  <si>
    <t>Bloom Residency C Wing Sahakari Gruharachna Sanstha Maryadit</t>
  </si>
  <si>
    <t>SSHS_1590</t>
  </si>
  <si>
    <t>Galaxy Carina Co Op Hsg Society Ltd</t>
  </si>
  <si>
    <t>SSHS_1562</t>
  </si>
  <si>
    <t>Konark Embessy CoOp Housing Society Limited</t>
  </si>
  <si>
    <t>SSHS_1563</t>
  </si>
  <si>
    <t>Chandrai Capital Sahakari Gruh Rachana Sanstha Maryadit</t>
  </si>
  <si>
    <t>SSHS_1577</t>
  </si>
  <si>
    <t>Vatsalyapuram Building A Co Operative Housing Society Limited</t>
  </si>
  <si>
    <t>SSHS_1593</t>
  </si>
  <si>
    <t>Shri Vile  Parle Kelavani Mandal's</t>
  </si>
  <si>
    <t>Sonigara Kesar Co Operative Hsg Society Phase II Building 2 Wing C</t>
  </si>
  <si>
    <t>SSHS_1619</t>
  </si>
  <si>
    <t>The Metropolitian H Wing Co-Op Housing Society Limited</t>
  </si>
  <si>
    <t>SSHS_1606</t>
  </si>
  <si>
    <t>Divinity Apartment Owners Association - O&amp;M</t>
  </si>
  <si>
    <t>Niwara CoOp Hsg Soc Ltd</t>
  </si>
  <si>
    <t>SSHS_1588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</si>
</sst>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sz val="8"/>
      <color rgb="FFFFFFFF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rgb="FF1B3A6B"/>
      <name val="Calibri"/>
      <family val="2"/>
    </font>
    <font>
      <sz val="8"/>
      <color rgb="FF00897B"/>
      <name val="Calibri"/>
      <family val="2"/>
    </font>
    <font>
      <b/>
      <sz val="10"/>
      <color rgb="FFFFFFFF"/>
      <name val="Calibri"/>
      <family val="2"/>
    </font>
    <font>
      <b/>
      <sz val="13"/>
      <color rgb="FFFFFFFF"/>
      <name val="Calibri"/>
      <family val="2"/>
    </font>
    <font>
      <sz val="9"/>
      <color rgb="FF5D6D7E"/>
      <name val="Calibri"/>
      <family val="2"/>
    </font>
    <font>
      <sz val="9"/>
      <color rgb="FF000000"/>
      <name val="Calibri"/>
      <family val="2"/>
    </font>
    <font>
      <b/>
      <sz val="9"/>
      <color rgb="FF27AE60"/>
      <name val="Calibri"/>
      <family val="2"/>
    </font>
    <font>
      <b/>
      <sz val="9"/>
      <color rgb="FFE67E22"/>
      <name val="Calibri"/>
      <family val="2"/>
    </font>
    <font>
      <b/>
      <sz val="9"/>
      <color rgb="FFC0392B"/>
      <name val="Calibri"/>
      <family val="2"/>
    </font>
    <font>
      <sz val="9"/>
      <color rgb="FFFFFFFF"/>
      <name val="Calibri"/>
      <family val="2"/>
    </font>
    <font>
      <b/>
      <sz val="9"/>
      <color rgb="FF1B3A6B"/>
      <name val="Calibri"/>
      <family val="2"/>
    </font>
    <font>
      <b/>
      <sz val="9"/>
      <color rgb="FF00897B"/>
      <name val="Calibri"/>
      <family val="2"/>
    </font>
    <font>
      <b/>
      <sz val="9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1A5276"/>
      </patternFill>
    </fill>
    <fill>
      <patternFill patternType="solid">
        <fgColor rgb="FF2E86C1"/>
        <bgColor rgb="FF00897B"/>
      </patternFill>
    </fill>
    <fill>
      <patternFill patternType="solid">
        <fgColor rgb="FF00897B"/>
        <bgColor rgb="FF117A65"/>
      </patternFill>
    </fill>
    <fill>
      <patternFill patternType="solid">
        <fgColor rgb="FFF4831F"/>
        <bgColor rgb="FFE67E22"/>
      </patternFill>
    </fill>
    <fill>
      <patternFill patternType="solid">
        <fgColor rgb="FF27AE60"/>
        <bgColor rgb="FF00897B"/>
      </patternFill>
    </fill>
    <fill>
      <patternFill patternType="solid">
        <fgColor rgb="FF1A5276"/>
        <bgColor rgb="FF1B3A6B"/>
      </patternFill>
    </fill>
    <fill>
      <patternFill patternType="solid">
        <fgColor rgb="FF7D3C98"/>
        <bgColor rgb="FF5B2C6F"/>
      </patternFill>
    </fill>
    <fill>
      <patternFill patternType="solid">
        <fgColor rgb="FFE67E22"/>
        <bgColor rgb="FFF4831F"/>
      </patternFill>
    </fill>
    <fill>
      <patternFill patternType="solid">
        <fgColor rgb="FF5D6D7E"/>
        <bgColor rgb="FF7F8C8D"/>
      </patternFill>
    </fill>
    <fill>
      <patternFill patternType="solid">
        <fgColor rgb="FFFFFFFF"/>
        <bgColor rgb="FFF4F6F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4F6F9"/>
        <bgColor rgb="FFFFFFFF"/>
      </patternFill>
    </fill>
    <fill>
      <patternFill patternType="solid">
        <fgColor rgb="FFE74C3C"/>
        <bgColor rgb="FFC0392B"/>
      </patternFill>
    </fill>
    <fill>
      <patternFill patternType="solid">
        <fgColor rgb="FFC0392B"/>
        <bgColor rgb="FFE74C3C"/>
      </patternFill>
    </fill>
    <fill>
      <patternFill patternType="solid">
        <fgColor rgb="FF7F8C8D"/>
        <bgColor rgb="FF95A5A6"/>
      </patternFill>
    </fill>
    <fill>
      <patternFill patternType="solid">
        <fgColor rgb="FFFDEBD0"/>
        <bgColor rgb="FFFADBD8"/>
      </patternFill>
    </fill>
  </fills>
  <borders count="3">
    <border>
      <left/>
      <right/>
      <top/>
      <bottom/>
      <diagonal/>
    </border>
    <border>
      <left style="thin">
        <color rgb="FFCDD4DA"/>
      </left>
      <right/>
      <top style="thin">
        <color rgb="FFCDD4DA"/>
      </top>
      <bottom style="thin">
        <color rgb="FFCDD4DA"/>
      </bottom>
      <diagonal/>
    </border>
    <border>
      <left style="thin">
        <color rgb="FFCDD4DA"/>
      </left>
      <right style="thin">
        <color rgb="FFCDD4DA"/>
      </right>
      <top style="thin">
        <color rgb="FFCDD4DA"/>
      </top>
      <bottom style="thin">
        <color rgb="FFCDD4DA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6" borderId="0" xfId="0" applyFont="1" applyFill="1" applyAlignment="1">
      <alignment horizontal="center" vertical="center"/>
    </xf>
    <xf numFmtId="165" fontId="1" fillId="6" borderId="0" xfId="0" applyNumberFormat="1" applyFont="1" applyFill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164" fontId="6" fillId="12" borderId="2" xfId="0" applyNumberFormat="1" applyFont="1" applyFill="1" applyBorder="1" applyAlignment="1">
      <alignment horizontal="right" vertical="center"/>
    </xf>
    <xf numFmtId="164" fontId="7" fillId="13" borderId="2" xfId="0" applyNumberFormat="1" applyFont="1" applyFill="1" applyBorder="1" applyAlignment="1">
      <alignment horizontal="right" vertical="center"/>
    </xf>
    <xf numFmtId="164" fontId="5" fillId="1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left" vertical="center"/>
    </xf>
    <xf numFmtId="164" fontId="10" fillId="1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center" vertical="center"/>
    </xf>
    <xf numFmtId="164" fontId="12" fillId="13" borderId="2" xfId="0" applyNumberFormat="1" applyFont="1" applyFill="1" applyBorder="1" applyAlignment="1">
      <alignment horizontal="right" vertical="center"/>
    </xf>
    <xf numFmtId="0" fontId="11" fillId="11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164" fontId="13" fillId="19" borderId="2" xfId="0" applyNumberFormat="1" applyFont="1" applyFill="1" applyBorder="1" applyAlignment="1">
      <alignment horizontal="right" vertical="center"/>
    </xf>
    <xf numFmtId="0" fontId="3" fillId="17" borderId="2" xfId="0" applyFont="1" applyFill="1" applyBorder="1" applyAlignment="1">
      <alignment horizontal="left" vertical="center"/>
    </xf>
    <xf numFmtId="164" fontId="14" fillId="14" borderId="2" xfId="0" applyNumberFormat="1" applyFont="1" applyFill="1" applyBorder="1" applyAlignment="1">
      <alignment horizontal="right" vertical="center"/>
    </xf>
    <xf numFmtId="0" fontId="10" fillId="15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4" fontId="16" fillId="12" borderId="2" xfId="0" applyNumberFormat="1" applyFont="1" applyFill="1" applyBorder="1" applyAlignment="1">
      <alignment horizontal="right" vertical="center"/>
    </xf>
    <xf numFmtId="164" fontId="17" fillId="13" borderId="2" xfId="0" applyNumberFormat="1" applyFont="1" applyFill="1" applyBorder="1" applyAlignment="1">
      <alignment horizontal="right" vertical="center"/>
    </xf>
    <xf numFmtId="164" fontId="18" fillId="14" borderId="2" xfId="0" applyNumberFormat="1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10" fillId="11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left" vertical="center"/>
    </xf>
    <xf numFmtId="164" fontId="11" fillId="15" borderId="2" xfId="0" applyNumberFormat="1" applyFont="1" applyFill="1" applyBorder="1" applyAlignment="1">
      <alignment horizontal="right" vertical="center"/>
    </xf>
    <xf numFmtId="0" fontId="11" fillId="11" borderId="2" xfId="0" applyFont="1" applyFill="1" applyBorder="1" applyAlignment="1">
      <alignment horizontal="left" vertical="center"/>
    </xf>
    <xf numFmtId="164" fontId="11" fillId="11" borderId="2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C0C0C0"/>
      <rgbColor rgb="FF7F8C8D"/>
      <rgbColor rgb="FF9999FF"/>
      <rgbColor rgb="FF7D3C98"/>
      <rgbColor rgb="FFFDEBD0"/>
      <rgbColor rgb="FFD6EAF8"/>
      <rgbColor rgb="FF660066"/>
      <rgbColor rgb="FFE74C3C"/>
      <rgbColor rgb="FF0066CC"/>
      <rgbColor rgb="FFCDD4DA"/>
      <rgbColor rgb="FF000080"/>
      <rgbColor rgb="FFFF00FF"/>
      <rgbColor rgb="FFFFFF00"/>
      <rgbColor rgb="FF00FFFF"/>
      <rgbColor rgb="FF800080"/>
      <rgbColor rgb="FF800000"/>
      <rgbColor rgb="FF117A65"/>
      <rgbColor rgb="FF0000FF"/>
      <rgbColor rgb="FF00CCFF"/>
      <rgbColor rgb="FFF4F6F9"/>
      <rgbColor rgb="FFD5F5E3"/>
      <rgbColor rgb="FFFFFF99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4831F"/>
      <rgbColor rgb="FFE67E22"/>
      <rgbColor rgb="FF5D6D7E"/>
      <rgbColor rgb="FF95A5A6"/>
      <rgbColor rgb="FF1B3A6B"/>
      <rgbColor rgb="FF27AE60"/>
      <rgbColor rgb="FF003300"/>
      <rgbColor rgb="FF333300"/>
      <rgbColor rgb="FF784212"/>
      <rgbColor rgb="FFC0392B"/>
      <rgbColor rgb="FF5B2C6F"/>
      <rgbColor rgb="FF1A527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831F"/>
  </sheetPr>
  <dimension ref="A1:S28"/>
  <sheetViews>
    <sheetView topLeftCell="T6" zoomScale="78" zoomScaleNormal="78" workbookViewId="0">
      <selection activeCell="H20" sqref="H20"/>
    </sheetView>
  </sheetViews>
  <sheetFormatPr defaultColWidth="8.6328125" defaultRowHeight="14.5" x14ac:dyDescent="0.35"/>
  <cols>
    <col min="1" max="1" width="22" customWidth="1"/>
    <col min="2" max="2" width="6" customWidth="1"/>
    <col min="3" max="5" width="16" customWidth="1"/>
    <col min="6" max="6" width="2" customWidth="1"/>
    <col min="7" max="7" width="20" customWidth="1"/>
    <col min="8" max="8" width="6" customWidth="1"/>
    <col min="9" max="11" width="16" customWidth="1"/>
    <col min="12" max="12" width="2" customWidth="1"/>
    <col min="13" max="13" width="22" customWidth="1"/>
    <col min="14" max="14" width="6" customWidth="1"/>
    <col min="15" max="17" width="16" customWidth="1"/>
    <col min="18" max="19" width="2" customWidth="1"/>
  </cols>
  <sheetData>
    <row r="1" spans="1:19" ht="10.5" customHeight="1" x14ac:dyDescent="0.3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19" ht="24" customHeight="1" x14ac:dyDescent="0.3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19" ht="10.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19" ht="6" customHeight="1" x14ac:dyDescent="0.35"/>
    <row r="5" spans="1:19" ht="13.5" customHeight="1" x14ac:dyDescent="0.35">
      <c r="A5" s="65" t="s">
        <v>1</v>
      </c>
      <c r="B5" s="65"/>
      <c r="C5" s="65"/>
      <c r="D5" s="65"/>
      <c r="E5" s="65"/>
      <c r="F5" s="66" t="s">
        <v>2</v>
      </c>
      <c r="G5" s="66"/>
      <c r="H5" s="66"/>
      <c r="I5" s="66"/>
      <c r="J5" s="66"/>
      <c r="K5" s="67" t="s">
        <v>3</v>
      </c>
      <c r="L5" s="67"/>
      <c r="M5" s="67"/>
      <c r="N5" s="67"/>
      <c r="O5" s="67"/>
      <c r="P5" s="67"/>
      <c r="Q5" s="68" t="s">
        <v>4</v>
      </c>
      <c r="R5" s="68"/>
      <c r="S5" s="1"/>
    </row>
    <row r="6" spans="1:19" ht="24" customHeight="1" x14ac:dyDescent="0.35">
      <c r="A6" s="60">
        <f>+C13</f>
        <v>196954714</v>
      </c>
      <c r="B6" s="60"/>
      <c r="C6" s="60"/>
      <c r="D6" s="60"/>
      <c r="E6" s="60"/>
      <c r="F6" s="61">
        <f>+B13</f>
        <v>398</v>
      </c>
      <c r="G6" s="61"/>
      <c r="H6" s="61"/>
      <c r="I6" s="61"/>
      <c r="J6" s="61"/>
      <c r="K6" s="62">
        <f>+J17</f>
        <v>36380270.710000001</v>
      </c>
      <c r="L6" s="62"/>
      <c r="M6" s="62"/>
      <c r="N6" s="62"/>
      <c r="O6" s="62"/>
      <c r="P6" s="62"/>
      <c r="Q6" s="63">
        <v>321148886.57999998</v>
      </c>
      <c r="R6" s="63"/>
      <c r="S6" s="2"/>
    </row>
    <row r="7" spans="1:19" ht="7.5" customHeight="1" x14ac:dyDescent="0.35"/>
    <row r="8" spans="1:19" ht="15.75" customHeight="1" x14ac:dyDescent="0.35">
      <c r="A8" s="57" t="s">
        <v>5</v>
      </c>
      <c r="B8" s="57"/>
      <c r="C8" s="57"/>
      <c r="D8" s="57"/>
      <c r="E8" s="57"/>
      <c r="G8" s="58" t="s">
        <v>6</v>
      </c>
      <c r="H8" s="58"/>
      <c r="I8" s="58"/>
      <c r="J8" s="58"/>
      <c r="K8" s="58"/>
      <c r="M8" s="59" t="s">
        <v>7</v>
      </c>
      <c r="N8" s="59"/>
      <c r="O8" s="59"/>
      <c r="P8" s="59"/>
      <c r="Q8" s="59"/>
    </row>
    <row r="9" spans="1:19" ht="15.75" customHeight="1" x14ac:dyDescent="0.35">
      <c r="A9" s="54" t="s">
        <v>8</v>
      </c>
      <c r="B9" s="54"/>
      <c r="C9" s="54"/>
      <c r="D9" s="54"/>
      <c r="E9" s="54"/>
      <c r="G9" s="55" t="s">
        <v>9</v>
      </c>
      <c r="H9" s="55"/>
      <c r="I9" s="55"/>
      <c r="J9" s="55"/>
      <c r="K9" s="55"/>
      <c r="M9" s="56" t="s">
        <v>10</v>
      </c>
      <c r="N9" s="56"/>
      <c r="O9" s="56"/>
      <c r="P9" s="56"/>
      <c r="Q9" s="56"/>
    </row>
    <row r="10" spans="1:19" ht="13.5" customHeight="1" x14ac:dyDescent="0.35">
      <c r="A10" s="3" t="s">
        <v>11</v>
      </c>
      <c r="B10" s="3" t="s">
        <v>12</v>
      </c>
      <c r="C10" s="3" t="s">
        <v>13</v>
      </c>
      <c r="D10" s="4" t="s">
        <v>14</v>
      </c>
      <c r="E10" s="5" t="s">
        <v>15</v>
      </c>
      <c r="G10" s="3" t="s">
        <v>11</v>
      </c>
      <c r="H10" s="3" t="s">
        <v>12</v>
      </c>
      <c r="I10" s="3" t="s">
        <v>13</v>
      </c>
      <c r="J10" s="4" t="s">
        <v>14</v>
      </c>
      <c r="K10" s="5" t="s">
        <v>15</v>
      </c>
      <c r="M10" s="3" t="s">
        <v>11</v>
      </c>
      <c r="N10" s="3" t="s">
        <v>12</v>
      </c>
      <c r="O10" s="3" t="s">
        <v>13</v>
      </c>
      <c r="P10" s="4" t="s">
        <v>14</v>
      </c>
      <c r="Q10" s="5" t="s">
        <v>15</v>
      </c>
    </row>
    <row r="11" spans="1:19" ht="13.5" customHeight="1" x14ac:dyDescent="0.35">
      <c r="A11" s="6" t="s">
        <v>16</v>
      </c>
      <c r="B11" s="7">
        <v>205</v>
      </c>
      <c r="C11" s="8">
        <v>133468936</v>
      </c>
      <c r="D11" s="9">
        <v>32808327.309999999</v>
      </c>
      <c r="E11" s="10">
        <v>100660608.69</v>
      </c>
      <c r="G11" s="11" t="s">
        <v>17</v>
      </c>
      <c r="H11" s="7">
        <v>6</v>
      </c>
      <c r="I11" s="8">
        <v>7029542</v>
      </c>
      <c r="J11" s="9">
        <v>162000</v>
      </c>
      <c r="K11" s="10">
        <v>6867542</v>
      </c>
      <c r="M11" s="6" t="s">
        <v>17</v>
      </c>
      <c r="N11" s="7">
        <v>30</v>
      </c>
      <c r="O11" s="8">
        <v>15366786</v>
      </c>
      <c r="P11" s="9">
        <v>1473432</v>
      </c>
      <c r="Q11" s="10">
        <v>13893354</v>
      </c>
    </row>
    <row r="12" spans="1:19" ht="13.5" customHeight="1" x14ac:dyDescent="0.35">
      <c r="A12" s="12" t="s">
        <v>18</v>
      </c>
      <c r="B12" s="13">
        <v>193</v>
      </c>
      <c r="C12" s="8">
        <v>63485778</v>
      </c>
      <c r="D12" s="9">
        <v>3571943.4</v>
      </c>
      <c r="E12" s="10">
        <v>59913834.600000001</v>
      </c>
      <c r="G12" s="6" t="s">
        <v>19</v>
      </c>
      <c r="H12" s="13">
        <v>100</v>
      </c>
      <c r="I12" s="8">
        <v>54684648</v>
      </c>
      <c r="J12" s="9">
        <v>11031561.310000001</v>
      </c>
      <c r="K12" s="10">
        <v>43653086.689999998</v>
      </c>
      <c r="M12" s="14" t="s">
        <v>20</v>
      </c>
      <c r="N12" s="13">
        <v>1</v>
      </c>
      <c r="O12" s="8">
        <v>893428</v>
      </c>
      <c r="P12" s="9">
        <v>0</v>
      </c>
      <c r="Q12" s="10">
        <v>893428</v>
      </c>
    </row>
    <row r="13" spans="1:19" ht="13.5" customHeight="1" x14ac:dyDescent="0.35">
      <c r="A13" s="5" t="s">
        <v>24</v>
      </c>
      <c r="B13" s="5">
        <f>SUM(B11:B12)</f>
        <v>398</v>
      </c>
      <c r="C13" s="18">
        <f>SUM(C11:C12)</f>
        <v>196954714</v>
      </c>
      <c r="D13" s="18">
        <f t="shared" ref="D13:E13" si="0">SUM(D11:D12)</f>
        <v>36380270.710000001</v>
      </c>
      <c r="E13" s="18">
        <f t="shared" si="0"/>
        <v>160574443.28999999</v>
      </c>
      <c r="G13" s="17" t="s">
        <v>22</v>
      </c>
      <c r="H13" s="7">
        <v>23</v>
      </c>
      <c r="I13" s="8">
        <v>17666943</v>
      </c>
      <c r="J13" s="9">
        <v>7214908</v>
      </c>
      <c r="K13" s="10">
        <v>10452035</v>
      </c>
      <c r="M13" s="12" t="s">
        <v>23</v>
      </c>
      <c r="N13" s="7">
        <v>181</v>
      </c>
      <c r="O13" s="8">
        <v>87448833</v>
      </c>
      <c r="P13" s="9">
        <v>10076111.4</v>
      </c>
      <c r="Q13" s="10">
        <v>77372721.599999994</v>
      </c>
    </row>
    <row r="14" spans="1:19" ht="13.5" customHeight="1" x14ac:dyDescent="0.35">
      <c r="G14" s="19" t="s">
        <v>25</v>
      </c>
      <c r="H14" s="13">
        <v>11</v>
      </c>
      <c r="I14" s="8">
        <v>15271196</v>
      </c>
      <c r="J14" s="9">
        <v>0</v>
      </c>
      <c r="K14" s="10">
        <v>15271196</v>
      </c>
      <c r="M14" s="11" t="s">
        <v>26</v>
      </c>
      <c r="N14" s="13">
        <v>47</v>
      </c>
      <c r="O14" s="8">
        <v>26523987</v>
      </c>
      <c r="P14" s="9">
        <v>3468836</v>
      </c>
      <c r="Q14" s="10">
        <v>23055151</v>
      </c>
    </row>
    <row r="15" spans="1:19" ht="13.5" customHeight="1" x14ac:dyDescent="0.35">
      <c r="G15" s="20" t="s">
        <v>27</v>
      </c>
      <c r="H15" s="7">
        <v>52</v>
      </c>
      <c r="I15" s="8">
        <v>43299256</v>
      </c>
      <c r="J15" s="9">
        <v>1544222</v>
      </c>
      <c r="K15" s="10">
        <v>41755034</v>
      </c>
      <c r="M15" s="15" t="s">
        <v>28</v>
      </c>
      <c r="N15" s="7">
        <v>12</v>
      </c>
      <c r="O15" s="8">
        <v>8663641</v>
      </c>
      <c r="P15" s="9">
        <v>0</v>
      </c>
      <c r="Q15" s="10">
        <v>8663641</v>
      </c>
    </row>
    <row r="16" spans="1:19" ht="13.5" customHeight="1" x14ac:dyDescent="0.35">
      <c r="G16" s="12" t="s">
        <v>18</v>
      </c>
      <c r="H16" s="13">
        <v>204</v>
      </c>
      <c r="I16" s="8">
        <v>58291811</v>
      </c>
      <c r="J16" s="9">
        <v>16427579.4</v>
      </c>
      <c r="K16" s="10">
        <v>41864231.600000001</v>
      </c>
      <c r="M16" s="16" t="s">
        <v>29</v>
      </c>
      <c r="N16" s="13">
        <v>15</v>
      </c>
      <c r="O16" s="8">
        <v>2907565</v>
      </c>
      <c r="P16" s="9">
        <v>28831</v>
      </c>
      <c r="Q16" s="10">
        <v>2878734</v>
      </c>
    </row>
    <row r="17" spans="7:17" ht="13.5" customHeight="1" x14ac:dyDescent="0.35">
      <c r="G17" s="5" t="s">
        <v>24</v>
      </c>
      <c r="H17" s="5">
        <f>SUM(H11:H16)</f>
        <v>396</v>
      </c>
      <c r="I17" s="5">
        <f t="shared" ref="I17:K17" si="1">SUM(I11:I16)</f>
        <v>196243396</v>
      </c>
      <c r="J17" s="5">
        <f t="shared" si="1"/>
        <v>36380270.710000001</v>
      </c>
      <c r="K17" s="5">
        <f t="shared" si="1"/>
        <v>159863125.28999999</v>
      </c>
      <c r="M17" s="20" t="s">
        <v>30</v>
      </c>
      <c r="N17" s="7">
        <v>88</v>
      </c>
      <c r="O17" s="8">
        <v>54522427</v>
      </c>
      <c r="P17" s="9">
        <v>21333060.309999999</v>
      </c>
      <c r="Q17" s="10">
        <v>33189366.690000001</v>
      </c>
    </row>
    <row r="18" spans="7:17" ht="15.75" customHeight="1" x14ac:dyDescent="0.35">
      <c r="M18" s="21" t="s">
        <v>32</v>
      </c>
      <c r="N18" s="13">
        <v>3</v>
      </c>
      <c r="O18" s="8">
        <v>243197</v>
      </c>
      <c r="P18" s="9">
        <v>0</v>
      </c>
      <c r="Q18" s="10">
        <v>243197</v>
      </c>
    </row>
    <row r="19" spans="7:17" ht="13.5" customHeight="1" x14ac:dyDescent="0.35">
      <c r="M19" s="17" t="s">
        <v>33</v>
      </c>
      <c r="N19" s="7">
        <v>17</v>
      </c>
      <c r="O19" s="8">
        <v>248499</v>
      </c>
      <c r="P19" s="9">
        <v>0</v>
      </c>
      <c r="Q19" s="10">
        <v>248499</v>
      </c>
    </row>
    <row r="20" spans="7:17" ht="13.5" customHeight="1" x14ac:dyDescent="0.35">
      <c r="M20" s="22" t="s">
        <v>31</v>
      </c>
      <c r="N20" s="7">
        <v>4</v>
      </c>
      <c r="O20" s="8">
        <v>136351</v>
      </c>
      <c r="P20" s="9">
        <v>0</v>
      </c>
      <c r="Q20" s="10">
        <v>136351</v>
      </c>
    </row>
    <row r="21" spans="7:17" ht="13.5" customHeight="1" x14ac:dyDescent="0.35">
      <c r="M21" s="5" t="s">
        <v>24</v>
      </c>
      <c r="N21" s="5">
        <f>SUM(N11:N20)</f>
        <v>398</v>
      </c>
      <c r="O21" s="5">
        <f t="shared" ref="O21:Q21" si="2">SUM(O11:O20)</f>
        <v>196954714</v>
      </c>
      <c r="P21" s="5">
        <f t="shared" si="2"/>
        <v>36380270.710000001</v>
      </c>
      <c r="Q21" s="5">
        <f t="shared" si="2"/>
        <v>160574443.28999999</v>
      </c>
    </row>
    <row r="22" spans="7:17" ht="13.5" customHeight="1" x14ac:dyDescent="0.35"/>
    <row r="23" spans="7:17" ht="13.5" customHeight="1" x14ac:dyDescent="0.35"/>
    <row r="24" spans="7:17" ht="13.5" customHeight="1" x14ac:dyDescent="0.35"/>
    <row r="25" spans="7:17" ht="13.5" customHeight="1" x14ac:dyDescent="0.35"/>
    <row r="26" spans="7:17" ht="13.5" customHeight="1" x14ac:dyDescent="0.35"/>
    <row r="27" spans="7:17" ht="13.5" customHeight="1" x14ac:dyDescent="0.35"/>
    <row r="28" spans="7:17" ht="15.75" customHeight="1" x14ac:dyDescent="0.35"/>
  </sheetData>
  <mergeCells count="15">
    <mergeCell ref="A6:E6"/>
    <mergeCell ref="F6:J6"/>
    <mergeCell ref="K6:P6"/>
    <mergeCell ref="Q6:R6"/>
    <mergeCell ref="A1:S3"/>
    <mergeCell ref="A5:E5"/>
    <mergeCell ref="F5:J5"/>
    <mergeCell ref="K5:P5"/>
    <mergeCell ref="Q5:R5"/>
    <mergeCell ref="A9:E9"/>
    <mergeCell ref="G9:K9"/>
    <mergeCell ref="M9:Q9"/>
    <mergeCell ref="A8:E8"/>
    <mergeCell ref="G8:K8"/>
    <mergeCell ref="M8:Q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M10"/>
  <sheetViews>
    <sheetView zoomScale="85" zoomScaleNormal="85" workbookViewId="0">
      <pane ySplit="6" topLeftCell="A7" activePane="bottomLeft" state="frozen"/>
      <selection pane="bottomLeft" activeCell="H8" sqref="H8"/>
    </sheetView>
  </sheetViews>
  <sheetFormatPr defaultColWidth="8.6328125" defaultRowHeight="14.5" x14ac:dyDescent="0.35"/>
  <cols>
    <col min="1" max="1" width="30" customWidth="1"/>
    <col min="2" max="2" width="10" customWidth="1"/>
    <col min="3" max="10" width="13" customWidth="1"/>
    <col min="11" max="13" width="16" customWidth="1"/>
  </cols>
  <sheetData>
    <row r="1" spans="1:13" ht="13.5" customHeight="1" x14ac:dyDescent="0.35">
      <c r="A1" s="69" t="s">
        <v>46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9.5" customHeight="1" x14ac:dyDescent="0.3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13.5" customHeight="1" x14ac:dyDescent="0.35">
      <c r="A3" s="70" t="s">
        <v>47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4" spans="1:13" ht="6" customHeight="1" x14ac:dyDescent="0.35"/>
    <row r="5" spans="1:13" ht="18" customHeight="1" x14ac:dyDescent="0.35">
      <c r="A5" s="71" t="s">
        <v>11</v>
      </c>
      <c r="B5" s="72" t="s">
        <v>48</v>
      </c>
      <c r="C5" s="73" t="s">
        <v>34</v>
      </c>
      <c r="D5" s="73" t="s">
        <v>35</v>
      </c>
      <c r="E5" s="74" t="s">
        <v>37</v>
      </c>
      <c r="F5" s="74" t="s">
        <v>39</v>
      </c>
      <c r="G5" s="74" t="s">
        <v>41</v>
      </c>
      <c r="H5" s="75" t="s">
        <v>42</v>
      </c>
      <c r="I5" s="75" t="s">
        <v>43</v>
      </c>
      <c r="J5" s="75" t="s">
        <v>44</v>
      </c>
      <c r="K5" s="72" t="s">
        <v>49</v>
      </c>
      <c r="L5" s="76" t="s">
        <v>50</v>
      </c>
      <c r="M5" s="77" t="s">
        <v>51</v>
      </c>
    </row>
    <row r="6" spans="1:13" ht="19.5" customHeight="1" x14ac:dyDescent="0.3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1:13" ht="15.75" customHeight="1" x14ac:dyDescent="0.35">
      <c r="A7" s="25" t="s">
        <v>45</v>
      </c>
      <c r="B7" s="35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</row>
    <row r="8" spans="1:13" ht="15.75" customHeight="1" x14ac:dyDescent="0.35">
      <c r="A8" s="36" t="s">
        <v>16</v>
      </c>
      <c r="B8" s="30">
        <v>205</v>
      </c>
      <c r="C8" s="29">
        <v>71855263</v>
      </c>
      <c r="D8" s="29">
        <v>27995994</v>
      </c>
      <c r="E8" s="32">
        <v>4971119</v>
      </c>
      <c r="F8" s="32">
        <v>11573013</v>
      </c>
      <c r="G8" s="32">
        <v>7522319</v>
      </c>
      <c r="H8" s="34">
        <v>6760174</v>
      </c>
      <c r="I8" s="34">
        <v>850253</v>
      </c>
      <c r="J8" s="34">
        <v>1624331</v>
      </c>
      <c r="K8" s="37">
        <v>133468936</v>
      </c>
      <c r="L8" s="38">
        <v>32808327.309999999</v>
      </c>
      <c r="M8" s="39">
        <v>100660608.69</v>
      </c>
    </row>
    <row r="9" spans="1:13" ht="15.75" customHeight="1" x14ac:dyDescent="0.35">
      <c r="A9" s="27" t="s">
        <v>18</v>
      </c>
      <c r="B9" s="28">
        <v>193</v>
      </c>
      <c r="C9" s="26"/>
      <c r="D9" s="26"/>
      <c r="E9" s="32">
        <v>8637839</v>
      </c>
      <c r="F9" s="32">
        <v>6255688</v>
      </c>
      <c r="G9" s="32">
        <v>12054819</v>
      </c>
      <c r="H9" s="34">
        <v>12701158</v>
      </c>
      <c r="I9" s="34">
        <v>3537158</v>
      </c>
      <c r="J9" s="34">
        <v>17617856</v>
      </c>
      <c r="K9" s="37">
        <v>63485778</v>
      </c>
      <c r="L9" s="38">
        <v>3571943.4</v>
      </c>
      <c r="M9" s="39">
        <v>59913834.600000001</v>
      </c>
    </row>
    <row r="10" spans="1:13" ht="19.5" customHeight="1" x14ac:dyDescent="0.35">
      <c r="A10" s="41" t="s">
        <v>1</v>
      </c>
      <c r="B10" s="24">
        <v>399</v>
      </c>
      <c r="C10" s="42">
        <f t="shared" ref="C10:M10" si="0">SUM(C8:C9)</f>
        <v>71855263</v>
      </c>
      <c r="D10" s="42">
        <f t="shared" si="0"/>
        <v>27995994</v>
      </c>
      <c r="E10" s="42">
        <f t="shared" si="0"/>
        <v>13608958</v>
      </c>
      <c r="F10" s="42">
        <f t="shared" si="0"/>
        <v>17828701</v>
      </c>
      <c r="G10" s="42">
        <f t="shared" si="0"/>
        <v>19577138</v>
      </c>
      <c r="H10" s="42">
        <f t="shared" si="0"/>
        <v>19461332</v>
      </c>
      <c r="I10" s="42">
        <f t="shared" si="0"/>
        <v>4387411</v>
      </c>
      <c r="J10" s="42">
        <f t="shared" si="0"/>
        <v>19242187</v>
      </c>
      <c r="K10" s="42">
        <f t="shared" si="0"/>
        <v>196954714</v>
      </c>
      <c r="L10" s="42">
        <f t="shared" si="0"/>
        <v>36380270.710000001</v>
      </c>
      <c r="M10" s="42">
        <f t="shared" si="0"/>
        <v>160574443.28999999</v>
      </c>
    </row>
  </sheetData>
  <mergeCells count="15">
    <mergeCell ref="A1:M2"/>
    <mergeCell ref="A3:M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6C1"/>
  </sheetPr>
  <dimension ref="A1:M14"/>
  <sheetViews>
    <sheetView zoomScale="85" zoomScaleNormal="85" workbookViewId="0">
      <pane ySplit="6" topLeftCell="A7" activePane="bottomLeft" state="frozen"/>
      <selection pane="bottomLeft" activeCell="F14" sqref="F14"/>
    </sheetView>
  </sheetViews>
  <sheetFormatPr defaultColWidth="8.6328125" defaultRowHeight="14.5" x14ac:dyDescent="0.35"/>
  <cols>
    <col min="1" max="1" width="30" customWidth="1"/>
    <col min="2" max="2" width="10" customWidth="1"/>
    <col min="3" max="10" width="13" customWidth="1"/>
    <col min="11" max="13" width="16" customWidth="1"/>
  </cols>
  <sheetData>
    <row r="1" spans="1:13" ht="13.5" customHeight="1" x14ac:dyDescent="0.35">
      <c r="A1" s="69" t="s">
        <v>52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9.5" customHeight="1" x14ac:dyDescent="0.3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13.5" customHeight="1" x14ac:dyDescent="0.35">
      <c r="A3" s="70" t="s">
        <v>47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4" spans="1:13" ht="6" customHeight="1" x14ac:dyDescent="0.35"/>
    <row r="5" spans="1:13" ht="18" customHeight="1" x14ac:dyDescent="0.35">
      <c r="A5" s="71" t="s">
        <v>11</v>
      </c>
      <c r="B5" s="72" t="s">
        <v>48</v>
      </c>
      <c r="C5" s="73" t="s">
        <v>34</v>
      </c>
      <c r="D5" s="73" t="s">
        <v>35</v>
      </c>
      <c r="E5" s="74" t="s">
        <v>37</v>
      </c>
      <c r="F5" s="74" t="s">
        <v>39</v>
      </c>
      <c r="G5" s="74" t="s">
        <v>41</v>
      </c>
      <c r="H5" s="75" t="s">
        <v>42</v>
      </c>
      <c r="I5" s="75" t="s">
        <v>43</v>
      </c>
      <c r="J5" s="75" t="s">
        <v>44</v>
      </c>
      <c r="K5" s="72" t="s">
        <v>49</v>
      </c>
      <c r="L5" s="76" t="s">
        <v>50</v>
      </c>
      <c r="M5" s="77" t="s">
        <v>51</v>
      </c>
    </row>
    <row r="6" spans="1:13" ht="19.5" customHeight="1" x14ac:dyDescent="0.3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1:13" ht="15.75" customHeight="1" x14ac:dyDescent="0.35">
      <c r="A7" s="25" t="s">
        <v>45</v>
      </c>
      <c r="B7" s="35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</row>
    <row r="8" spans="1:13" ht="15.75" customHeight="1" x14ac:dyDescent="0.35">
      <c r="A8" s="43" t="s">
        <v>17</v>
      </c>
      <c r="B8" s="30">
        <v>6</v>
      </c>
      <c r="C8" s="29">
        <v>1958292</v>
      </c>
      <c r="D8" s="29">
        <v>1581021</v>
      </c>
      <c r="E8" s="44"/>
      <c r="F8" s="32">
        <v>1487054</v>
      </c>
      <c r="G8" s="32">
        <v>194863</v>
      </c>
      <c r="H8" s="34">
        <v>913845</v>
      </c>
      <c r="I8" s="34">
        <v>162000</v>
      </c>
      <c r="J8" s="34">
        <v>732467</v>
      </c>
      <c r="K8" s="37">
        <v>7029542</v>
      </c>
      <c r="L8" s="38">
        <v>162000</v>
      </c>
      <c r="M8" s="39">
        <v>6867542</v>
      </c>
    </row>
    <row r="9" spans="1:13" ht="15.75" customHeight="1" x14ac:dyDescent="0.35">
      <c r="A9" s="36" t="s">
        <v>19</v>
      </c>
      <c r="B9" s="28">
        <v>100</v>
      </c>
      <c r="C9" s="29">
        <v>14730634</v>
      </c>
      <c r="D9" s="29">
        <v>4743453</v>
      </c>
      <c r="E9" s="32">
        <v>1945694</v>
      </c>
      <c r="F9" s="32">
        <v>2532838</v>
      </c>
      <c r="G9" s="32">
        <v>4953955</v>
      </c>
      <c r="H9" s="34">
        <v>9474864</v>
      </c>
      <c r="I9" s="34">
        <v>1790559</v>
      </c>
      <c r="J9" s="34">
        <v>13438830</v>
      </c>
      <c r="K9" s="37">
        <v>54684648</v>
      </c>
      <c r="L9" s="38">
        <v>11031561.310000001</v>
      </c>
      <c r="M9" s="39">
        <v>43653086.689999998</v>
      </c>
    </row>
    <row r="10" spans="1:13" ht="15.75" customHeight="1" x14ac:dyDescent="0.35">
      <c r="A10" s="31" t="s">
        <v>22</v>
      </c>
      <c r="B10" s="30">
        <v>23</v>
      </c>
      <c r="C10" s="29">
        <v>4820997</v>
      </c>
      <c r="D10" s="29">
        <v>4072518</v>
      </c>
      <c r="E10" s="32">
        <v>1390470</v>
      </c>
      <c r="F10" s="32">
        <v>5054675</v>
      </c>
      <c r="G10" s="32">
        <v>833771</v>
      </c>
      <c r="H10" s="34">
        <v>227752</v>
      </c>
      <c r="I10" s="34">
        <v>304232</v>
      </c>
      <c r="J10" s="34">
        <v>294000</v>
      </c>
      <c r="K10" s="37">
        <v>17666943</v>
      </c>
      <c r="L10" s="38">
        <v>7214908</v>
      </c>
      <c r="M10" s="39">
        <v>10452035</v>
      </c>
    </row>
    <row r="11" spans="1:13" ht="15.75" customHeight="1" x14ac:dyDescent="0.35">
      <c r="A11" s="45" t="s">
        <v>25</v>
      </c>
      <c r="B11" s="28">
        <v>11</v>
      </c>
      <c r="C11" s="29">
        <v>3342507</v>
      </c>
      <c r="D11" s="29">
        <v>520322</v>
      </c>
      <c r="E11" s="32">
        <v>2400477</v>
      </c>
      <c r="F11" s="32">
        <v>2493071</v>
      </c>
      <c r="G11" s="32">
        <v>4703280</v>
      </c>
      <c r="H11" s="34">
        <v>536518</v>
      </c>
      <c r="I11" s="34">
        <v>680220</v>
      </c>
      <c r="J11" s="34">
        <v>594801</v>
      </c>
      <c r="K11" s="37">
        <v>15271196</v>
      </c>
      <c r="L11" s="38">
        <v>0</v>
      </c>
      <c r="M11" s="39">
        <v>15271196</v>
      </c>
    </row>
    <row r="12" spans="1:13" ht="15.75" customHeight="1" x14ac:dyDescent="0.35">
      <c r="A12" s="46" t="s">
        <v>27</v>
      </c>
      <c r="B12" s="30">
        <v>52</v>
      </c>
      <c r="C12" s="29">
        <v>11998033</v>
      </c>
      <c r="D12" s="29">
        <v>7267275</v>
      </c>
      <c r="E12" s="32">
        <v>6385593</v>
      </c>
      <c r="F12" s="32">
        <v>3828083</v>
      </c>
      <c r="G12" s="32">
        <v>3615659</v>
      </c>
      <c r="H12" s="34">
        <v>6895228</v>
      </c>
      <c r="I12" s="34">
        <v>664265</v>
      </c>
      <c r="J12" s="34">
        <v>2599825</v>
      </c>
      <c r="K12" s="37">
        <v>43299256</v>
      </c>
      <c r="L12" s="38">
        <v>1544222</v>
      </c>
      <c r="M12" s="39">
        <v>41755034</v>
      </c>
    </row>
    <row r="13" spans="1:13" ht="15.75" customHeight="1" x14ac:dyDescent="0.35">
      <c r="A13" s="27" t="s">
        <v>18</v>
      </c>
      <c r="B13" s="28">
        <v>204</v>
      </c>
      <c r="C13" s="29">
        <v>34293483</v>
      </c>
      <c r="D13" s="29">
        <v>9811404</v>
      </c>
      <c r="E13" s="32">
        <v>1486724</v>
      </c>
      <c r="F13" s="32">
        <v>2432980</v>
      </c>
      <c r="G13" s="32">
        <v>5275610</v>
      </c>
      <c r="H13" s="34">
        <v>1413125</v>
      </c>
      <c r="I13" s="34">
        <v>786135</v>
      </c>
      <c r="J13" s="34">
        <v>1582264</v>
      </c>
      <c r="K13" s="37">
        <v>58291811</v>
      </c>
      <c r="L13" s="38">
        <v>16427579.4</v>
      </c>
      <c r="M13" s="39">
        <v>41864231.600000001</v>
      </c>
    </row>
    <row r="14" spans="1:13" ht="19.5" customHeight="1" x14ac:dyDescent="0.35">
      <c r="A14" s="41" t="s">
        <v>1</v>
      </c>
      <c r="B14" s="24">
        <v>399</v>
      </c>
      <c r="C14" s="42">
        <f t="shared" ref="C14:M14" si="0">SUM(C8:C13)</f>
        <v>71143946</v>
      </c>
      <c r="D14" s="42">
        <f t="shared" si="0"/>
        <v>27995993</v>
      </c>
      <c r="E14" s="42">
        <f t="shared" si="0"/>
        <v>13608958</v>
      </c>
      <c r="F14" s="42">
        <f t="shared" si="0"/>
        <v>17828701</v>
      </c>
      <c r="G14" s="42">
        <f t="shared" si="0"/>
        <v>19577138</v>
      </c>
      <c r="H14" s="42">
        <f t="shared" si="0"/>
        <v>19461332</v>
      </c>
      <c r="I14" s="42">
        <f t="shared" si="0"/>
        <v>4387411</v>
      </c>
      <c r="J14" s="42">
        <f t="shared" si="0"/>
        <v>19242187</v>
      </c>
      <c r="K14" s="42">
        <f t="shared" si="0"/>
        <v>196243396</v>
      </c>
      <c r="L14" s="42">
        <f t="shared" si="0"/>
        <v>36380270.710000001</v>
      </c>
      <c r="M14" s="42">
        <f t="shared" si="0"/>
        <v>159863125.28999999</v>
      </c>
    </row>
  </sheetData>
  <mergeCells count="15">
    <mergeCell ref="A1:M2"/>
    <mergeCell ref="A3:M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5276"/>
  </sheetPr>
  <dimension ref="A1:M18"/>
  <sheetViews>
    <sheetView zoomScale="85" zoomScaleNormal="85" workbookViewId="0">
      <pane ySplit="6" topLeftCell="A7" activePane="bottomLeft" state="frozen"/>
      <selection pane="bottomLeft" activeCell="D21" sqref="D21"/>
    </sheetView>
  </sheetViews>
  <sheetFormatPr defaultColWidth="8.6328125" defaultRowHeight="14.5" x14ac:dyDescent="0.35"/>
  <cols>
    <col min="1" max="1" width="30" customWidth="1"/>
    <col min="2" max="2" width="10" customWidth="1"/>
    <col min="3" max="10" width="13" customWidth="1"/>
    <col min="11" max="13" width="16" customWidth="1"/>
  </cols>
  <sheetData>
    <row r="1" spans="1:13" ht="13.5" customHeight="1" x14ac:dyDescent="0.35">
      <c r="A1" s="69" t="s">
        <v>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9.5" customHeight="1" x14ac:dyDescent="0.3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13.5" customHeight="1" x14ac:dyDescent="0.35">
      <c r="A3" s="70" t="s">
        <v>47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4" spans="1:13" ht="6" customHeight="1" x14ac:dyDescent="0.35"/>
    <row r="5" spans="1:13" ht="18" customHeight="1" x14ac:dyDescent="0.35">
      <c r="A5" s="71" t="s">
        <v>11</v>
      </c>
      <c r="B5" s="72" t="s">
        <v>48</v>
      </c>
      <c r="C5" s="73" t="s">
        <v>34</v>
      </c>
      <c r="D5" s="73" t="s">
        <v>35</v>
      </c>
      <c r="E5" s="74" t="s">
        <v>37</v>
      </c>
      <c r="F5" s="74" t="s">
        <v>39</v>
      </c>
      <c r="G5" s="74" t="s">
        <v>41</v>
      </c>
      <c r="H5" s="75" t="s">
        <v>42</v>
      </c>
      <c r="I5" s="75" t="s">
        <v>43</v>
      </c>
      <c r="J5" s="75" t="s">
        <v>44</v>
      </c>
      <c r="K5" s="72" t="s">
        <v>49</v>
      </c>
      <c r="L5" s="76" t="s">
        <v>50</v>
      </c>
      <c r="M5" s="77" t="s">
        <v>51</v>
      </c>
    </row>
    <row r="6" spans="1:13" ht="19.5" customHeight="1" x14ac:dyDescent="0.3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1:13" ht="15.75" customHeight="1" x14ac:dyDescent="0.35">
      <c r="A7" s="25" t="s">
        <v>45</v>
      </c>
      <c r="B7" s="35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</row>
    <row r="8" spans="1:13" ht="15.75" customHeight="1" x14ac:dyDescent="0.35">
      <c r="A8" s="36" t="s">
        <v>17</v>
      </c>
      <c r="B8" s="30">
        <v>30</v>
      </c>
      <c r="C8" s="29">
        <v>4882358</v>
      </c>
      <c r="D8" s="29">
        <v>3959783</v>
      </c>
      <c r="E8" s="32">
        <v>1006331</v>
      </c>
      <c r="F8" s="32">
        <v>645559</v>
      </c>
      <c r="G8" s="32">
        <v>2750865</v>
      </c>
      <c r="H8" s="34">
        <v>737726</v>
      </c>
      <c r="I8" s="34">
        <v>91390</v>
      </c>
      <c r="J8" s="34">
        <v>1292774</v>
      </c>
      <c r="K8" s="37">
        <v>15366786</v>
      </c>
      <c r="L8" s="38">
        <v>1473432</v>
      </c>
      <c r="M8" s="39">
        <v>13893354</v>
      </c>
    </row>
    <row r="9" spans="1:13" ht="15.75" customHeight="1" x14ac:dyDescent="0.35">
      <c r="A9" s="47" t="s">
        <v>20</v>
      </c>
      <c r="B9" s="28">
        <v>1</v>
      </c>
      <c r="C9" s="26"/>
      <c r="D9" s="26"/>
      <c r="E9" s="26"/>
      <c r="F9" s="32">
        <v>365900</v>
      </c>
      <c r="G9" s="32">
        <v>527528</v>
      </c>
      <c r="H9" s="26"/>
      <c r="I9" s="26"/>
      <c r="J9" s="26"/>
      <c r="K9" s="37">
        <v>893428</v>
      </c>
      <c r="L9" s="38">
        <v>0</v>
      </c>
      <c r="M9" s="39">
        <v>893428</v>
      </c>
    </row>
    <row r="10" spans="1:13" ht="15.75" customHeight="1" x14ac:dyDescent="0.35">
      <c r="A10" s="27" t="s">
        <v>23</v>
      </c>
      <c r="B10" s="30">
        <v>181</v>
      </c>
      <c r="C10" s="29">
        <v>20153864</v>
      </c>
      <c r="D10" s="29">
        <v>11705391</v>
      </c>
      <c r="E10" s="32">
        <v>4294472</v>
      </c>
      <c r="F10" s="32">
        <v>10777558</v>
      </c>
      <c r="G10" s="32">
        <v>11321498</v>
      </c>
      <c r="H10" s="34">
        <v>16239007</v>
      </c>
      <c r="I10" s="34">
        <v>3965623</v>
      </c>
      <c r="J10" s="34">
        <v>6567191</v>
      </c>
      <c r="K10" s="37">
        <v>87448833</v>
      </c>
      <c r="L10" s="38">
        <v>10076111.4</v>
      </c>
      <c r="M10" s="39">
        <v>77372721.599999994</v>
      </c>
    </row>
    <row r="11" spans="1:13" ht="15.75" customHeight="1" x14ac:dyDescent="0.35">
      <c r="A11" s="43" t="s">
        <v>26</v>
      </c>
      <c r="B11" s="28">
        <v>47</v>
      </c>
      <c r="C11" s="29">
        <v>9844474</v>
      </c>
      <c r="D11" s="29">
        <v>3487886</v>
      </c>
      <c r="E11" s="32">
        <v>3709470</v>
      </c>
      <c r="F11" s="32">
        <v>5160771</v>
      </c>
      <c r="G11" s="32">
        <v>3903235</v>
      </c>
      <c r="H11" s="26"/>
      <c r="I11" s="34">
        <v>118151</v>
      </c>
      <c r="J11" s="34">
        <v>300000</v>
      </c>
      <c r="K11" s="37">
        <v>26523987</v>
      </c>
      <c r="L11" s="38">
        <v>3468836</v>
      </c>
      <c r="M11" s="39">
        <v>23055151</v>
      </c>
    </row>
    <row r="12" spans="1:13" ht="15.75" customHeight="1" x14ac:dyDescent="0.35">
      <c r="A12" s="33" t="s">
        <v>28</v>
      </c>
      <c r="B12" s="30">
        <v>12</v>
      </c>
      <c r="C12" s="44"/>
      <c r="D12" s="44"/>
      <c r="E12" s="44"/>
      <c r="F12" s="44"/>
      <c r="G12" s="32">
        <v>817657</v>
      </c>
      <c r="H12" s="34">
        <v>18999</v>
      </c>
      <c r="I12" s="34">
        <v>149178</v>
      </c>
      <c r="J12" s="34">
        <v>7677807</v>
      </c>
      <c r="K12" s="37">
        <v>8663641</v>
      </c>
      <c r="L12" s="38">
        <v>0</v>
      </c>
      <c r="M12" s="39">
        <v>8663641</v>
      </c>
    </row>
    <row r="13" spans="1:13" ht="15.75" customHeight="1" x14ac:dyDescent="0.35">
      <c r="A13" s="40" t="s">
        <v>29</v>
      </c>
      <c r="B13" s="28">
        <v>15</v>
      </c>
      <c r="C13" s="29">
        <v>186219</v>
      </c>
      <c r="D13" s="29">
        <v>246864</v>
      </c>
      <c r="E13" s="32">
        <v>44422</v>
      </c>
      <c r="F13" s="32">
        <v>27718</v>
      </c>
      <c r="G13" s="32">
        <v>133936</v>
      </c>
      <c r="H13" s="34">
        <v>108825</v>
      </c>
      <c r="I13" s="34">
        <v>47200</v>
      </c>
      <c r="J13" s="34">
        <v>1707150</v>
      </c>
      <c r="K13" s="37">
        <v>2907565</v>
      </c>
      <c r="L13" s="38">
        <v>28831</v>
      </c>
      <c r="M13" s="39">
        <v>2878734</v>
      </c>
    </row>
    <row r="14" spans="1:13" ht="15.75" customHeight="1" x14ac:dyDescent="0.35">
      <c r="A14" s="46" t="s">
        <v>30</v>
      </c>
      <c r="B14" s="30">
        <v>88</v>
      </c>
      <c r="C14" s="29">
        <v>36788348</v>
      </c>
      <c r="D14" s="29">
        <v>8596070</v>
      </c>
      <c r="E14" s="32">
        <v>4523774</v>
      </c>
      <c r="F14" s="32">
        <v>711843</v>
      </c>
      <c r="G14" s="32">
        <v>102518</v>
      </c>
      <c r="H14" s="34">
        <v>2356775</v>
      </c>
      <c r="I14" s="44"/>
      <c r="J14" s="34">
        <v>1443099</v>
      </c>
      <c r="K14" s="37">
        <v>54522427</v>
      </c>
      <c r="L14" s="38">
        <v>21333060.309999999</v>
      </c>
      <c r="M14" s="39">
        <v>33189366.690000001</v>
      </c>
    </row>
    <row r="15" spans="1:13" ht="15.75" customHeight="1" x14ac:dyDescent="0.35">
      <c r="A15" s="48" t="s">
        <v>32</v>
      </c>
      <c r="B15" s="28">
        <v>3</v>
      </c>
      <c r="C15" s="26"/>
      <c r="D15" s="26"/>
      <c r="E15" s="26"/>
      <c r="F15" s="32">
        <v>122512</v>
      </c>
      <c r="G15" s="26"/>
      <c r="H15" s="26"/>
      <c r="I15" s="26"/>
      <c r="J15" s="26"/>
      <c r="K15" s="37">
        <v>243197</v>
      </c>
      <c r="L15" s="38">
        <v>0</v>
      </c>
      <c r="M15" s="39">
        <v>243197</v>
      </c>
    </row>
    <row r="16" spans="1:13" ht="15.75" customHeight="1" x14ac:dyDescent="0.35">
      <c r="A16" s="31" t="s">
        <v>33</v>
      </c>
      <c r="B16" s="30">
        <v>17</v>
      </c>
      <c r="C16" s="44"/>
      <c r="D16" s="44"/>
      <c r="E16" s="32">
        <v>30489</v>
      </c>
      <c r="F16" s="32">
        <v>16840</v>
      </c>
      <c r="G16" s="32">
        <v>19901</v>
      </c>
      <c r="H16" s="44"/>
      <c r="I16" s="34">
        <v>15869</v>
      </c>
      <c r="J16" s="34">
        <v>117815</v>
      </c>
      <c r="K16" s="37">
        <v>248499</v>
      </c>
      <c r="L16" s="38">
        <v>0</v>
      </c>
      <c r="M16" s="39">
        <v>248499</v>
      </c>
    </row>
    <row r="17" spans="1:13" ht="15.75" customHeight="1" x14ac:dyDescent="0.35">
      <c r="A17" s="49" t="s">
        <v>31</v>
      </c>
      <c r="B17" s="30">
        <v>4</v>
      </c>
      <c r="C17" s="44"/>
      <c r="D17" s="44"/>
      <c r="E17" s="44"/>
      <c r="F17" s="44"/>
      <c r="G17" s="44"/>
      <c r="H17" s="44"/>
      <c r="I17" s="44"/>
      <c r="J17" s="34">
        <v>136351</v>
      </c>
      <c r="K17" s="37">
        <v>136351</v>
      </c>
      <c r="L17" s="38">
        <v>0</v>
      </c>
      <c r="M17" s="39">
        <v>136351</v>
      </c>
    </row>
    <row r="18" spans="1:13" ht="19.5" customHeight="1" x14ac:dyDescent="0.35">
      <c r="A18" s="41" t="s">
        <v>1</v>
      </c>
      <c r="B18" s="24">
        <v>399</v>
      </c>
      <c r="C18" s="42">
        <f t="shared" ref="C18:M18" si="0">SUM(C8:C17)</f>
        <v>71855263</v>
      </c>
      <c r="D18" s="42">
        <f t="shared" si="0"/>
        <v>27995994</v>
      </c>
      <c r="E18" s="42">
        <f t="shared" si="0"/>
        <v>13608958</v>
      </c>
      <c r="F18" s="42">
        <f t="shared" si="0"/>
        <v>17828701</v>
      </c>
      <c r="G18" s="42">
        <f t="shared" si="0"/>
        <v>19577138</v>
      </c>
      <c r="H18" s="42">
        <f t="shared" si="0"/>
        <v>19461332</v>
      </c>
      <c r="I18" s="42">
        <f t="shared" si="0"/>
        <v>4387411</v>
      </c>
      <c r="J18" s="42">
        <f t="shared" si="0"/>
        <v>19242187</v>
      </c>
      <c r="K18" s="42">
        <f t="shared" si="0"/>
        <v>196954714</v>
      </c>
      <c r="L18" s="42">
        <f t="shared" si="0"/>
        <v>36380270.710000001</v>
      </c>
      <c r="M18" s="42">
        <f t="shared" si="0"/>
        <v>160574443.28999999</v>
      </c>
    </row>
  </sheetData>
  <mergeCells count="15">
    <mergeCell ref="A1:M2"/>
    <mergeCell ref="A3:M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D6D7E"/>
  </sheetPr>
  <dimension ref="A1:P399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ColWidth="8.6328125" defaultRowHeight="14.5" x14ac:dyDescent="0.35"/>
  <cols>
    <col min="1" max="1" width="38" customWidth="1"/>
    <col min="2" max="2" width="18" customWidth="1"/>
    <col min="3" max="3" width="8" customWidth="1"/>
    <col min="4" max="11" width="12" customWidth="1"/>
    <col min="12" max="12" width="16" customWidth="1"/>
    <col min="13" max="13" width="18" customWidth="1"/>
    <col min="14" max="14" width="20" customWidth="1"/>
    <col min="15" max="15" width="16" customWidth="1"/>
    <col min="16" max="16" width="14" customWidth="1"/>
  </cols>
  <sheetData>
    <row r="1" spans="1:16" ht="19.5" customHeight="1" x14ac:dyDescent="0.35">
      <c r="A1" s="23" t="s">
        <v>54</v>
      </c>
      <c r="B1" s="23" t="s">
        <v>55</v>
      </c>
      <c r="C1" s="23" t="s">
        <v>56</v>
      </c>
      <c r="D1" s="23" t="s">
        <v>34</v>
      </c>
      <c r="E1" s="23" t="s">
        <v>35</v>
      </c>
      <c r="F1" s="23" t="s">
        <v>37</v>
      </c>
      <c r="G1" s="23" t="s">
        <v>39</v>
      </c>
      <c r="H1" s="23" t="s">
        <v>41</v>
      </c>
      <c r="I1" s="23" t="s">
        <v>42</v>
      </c>
      <c r="J1" s="23" t="s">
        <v>43</v>
      </c>
      <c r="K1" s="23" t="s">
        <v>44</v>
      </c>
      <c r="L1" s="23" t="s">
        <v>1</v>
      </c>
      <c r="M1" s="23" t="s">
        <v>3</v>
      </c>
      <c r="N1" s="23" t="s">
        <v>57</v>
      </c>
      <c r="O1" s="23" t="s">
        <v>58</v>
      </c>
      <c r="P1" s="23" t="s">
        <v>59</v>
      </c>
    </row>
    <row r="2" spans="1:16" ht="15" customHeight="1" x14ac:dyDescent="0.35">
      <c r="A2" s="50" t="s">
        <v>60</v>
      </c>
      <c r="B2" s="50" t="s">
        <v>61</v>
      </c>
      <c r="C2" s="50" t="s">
        <v>38</v>
      </c>
      <c r="D2" s="51">
        <v>0</v>
      </c>
      <c r="E2" s="51">
        <v>0</v>
      </c>
      <c r="F2" s="51">
        <v>0</v>
      </c>
      <c r="G2" s="51">
        <v>0</v>
      </c>
      <c r="H2" s="51">
        <v>0</v>
      </c>
      <c r="I2" s="51">
        <v>3106755</v>
      </c>
      <c r="J2" s="51">
        <v>0</v>
      </c>
      <c r="K2" s="51">
        <v>0</v>
      </c>
      <c r="L2" s="51">
        <v>3106755</v>
      </c>
      <c r="M2" s="51">
        <v>0</v>
      </c>
      <c r="N2" s="50" t="s">
        <v>23</v>
      </c>
      <c r="O2" s="50" t="s">
        <v>19</v>
      </c>
      <c r="P2" s="50" t="s">
        <v>19</v>
      </c>
    </row>
    <row r="3" spans="1:16" ht="15" customHeight="1" x14ac:dyDescent="0.35">
      <c r="A3" s="52" t="s">
        <v>62</v>
      </c>
      <c r="B3" s="52" t="s">
        <v>63</v>
      </c>
      <c r="C3" s="52" t="s">
        <v>36</v>
      </c>
      <c r="D3" s="53">
        <v>0</v>
      </c>
      <c r="E3" s="53">
        <v>0</v>
      </c>
      <c r="F3" s="53">
        <v>0</v>
      </c>
      <c r="G3" s="53">
        <v>809944</v>
      </c>
      <c r="H3" s="53">
        <v>250000</v>
      </c>
      <c r="I3" s="53">
        <v>3239771</v>
      </c>
      <c r="J3" s="53">
        <v>0</v>
      </c>
      <c r="K3" s="53">
        <v>0</v>
      </c>
      <c r="L3" s="53">
        <v>4299715</v>
      </c>
      <c r="M3" s="53">
        <v>0</v>
      </c>
      <c r="N3" s="52" t="s">
        <v>23</v>
      </c>
      <c r="O3" s="52" t="s">
        <v>19</v>
      </c>
      <c r="P3" s="50" t="s">
        <v>19</v>
      </c>
    </row>
    <row r="4" spans="1:16" ht="15" customHeight="1" x14ac:dyDescent="0.35">
      <c r="A4" s="50" t="s">
        <v>64</v>
      </c>
      <c r="B4" s="50" t="s">
        <v>64</v>
      </c>
      <c r="C4" s="50" t="s">
        <v>38</v>
      </c>
      <c r="D4" s="51">
        <v>0</v>
      </c>
      <c r="E4" s="51">
        <v>0</v>
      </c>
      <c r="F4" s="51">
        <v>0</v>
      </c>
      <c r="G4" s="51">
        <v>0</v>
      </c>
      <c r="H4" s="51">
        <v>0</v>
      </c>
      <c r="I4" s="51">
        <v>0</v>
      </c>
      <c r="J4" s="51">
        <v>0</v>
      </c>
      <c r="K4" s="51">
        <v>2425061</v>
      </c>
      <c r="L4" s="51">
        <v>2425061</v>
      </c>
      <c r="M4" s="51">
        <v>0</v>
      </c>
      <c r="N4" s="50" t="s">
        <v>28</v>
      </c>
      <c r="O4" s="50" t="s">
        <v>19</v>
      </c>
      <c r="P4" s="50" t="s">
        <v>19</v>
      </c>
    </row>
    <row r="5" spans="1:16" ht="15" customHeight="1" x14ac:dyDescent="0.35">
      <c r="A5" s="52" t="s">
        <v>65</v>
      </c>
      <c r="B5" s="52" t="s">
        <v>66</v>
      </c>
      <c r="C5" s="52" t="s">
        <v>36</v>
      </c>
      <c r="D5" s="53">
        <v>0</v>
      </c>
      <c r="E5" s="53">
        <v>33392</v>
      </c>
      <c r="F5" s="53">
        <v>0</v>
      </c>
      <c r="G5" s="53">
        <v>0</v>
      </c>
      <c r="H5" s="53">
        <v>0</v>
      </c>
      <c r="I5" s="53">
        <v>0</v>
      </c>
      <c r="J5" s="53">
        <v>0</v>
      </c>
      <c r="K5" s="53">
        <v>0</v>
      </c>
      <c r="L5" s="53">
        <v>33392</v>
      </c>
      <c r="M5" s="53">
        <v>0</v>
      </c>
      <c r="N5" s="52" t="s">
        <v>23</v>
      </c>
      <c r="O5" s="52" t="s">
        <v>18</v>
      </c>
      <c r="P5" s="52" t="s">
        <v>19</v>
      </c>
    </row>
    <row r="6" spans="1:16" ht="15" customHeight="1" x14ac:dyDescent="0.35">
      <c r="A6" s="50" t="s">
        <v>67</v>
      </c>
      <c r="B6" s="50" t="s">
        <v>67</v>
      </c>
      <c r="C6" s="50" t="s">
        <v>40</v>
      </c>
      <c r="D6" s="51">
        <v>0</v>
      </c>
      <c r="E6" s="51">
        <v>0</v>
      </c>
      <c r="F6" s="51">
        <v>0</v>
      </c>
      <c r="G6" s="51">
        <v>0</v>
      </c>
      <c r="H6" s="51">
        <v>2010000</v>
      </c>
      <c r="I6" s="51">
        <v>0</v>
      </c>
      <c r="J6" s="51">
        <v>0</v>
      </c>
      <c r="K6" s="51">
        <v>932195</v>
      </c>
      <c r="L6" s="51">
        <v>2942195</v>
      </c>
      <c r="M6" s="51">
        <v>1473432</v>
      </c>
      <c r="N6" s="50" t="s">
        <v>17</v>
      </c>
      <c r="O6" s="50" t="s">
        <v>19</v>
      </c>
      <c r="P6" s="50" t="s">
        <v>19</v>
      </c>
    </row>
    <row r="7" spans="1:16" ht="15" customHeight="1" x14ac:dyDescent="0.35">
      <c r="A7" s="52" t="s">
        <v>68</v>
      </c>
      <c r="B7" s="52" t="s">
        <v>68</v>
      </c>
      <c r="C7" s="52" t="s">
        <v>40</v>
      </c>
      <c r="D7" s="53">
        <v>1289520</v>
      </c>
      <c r="E7" s="53">
        <v>0</v>
      </c>
      <c r="F7" s="53">
        <v>856281</v>
      </c>
      <c r="G7" s="53">
        <v>0</v>
      </c>
      <c r="H7" s="53">
        <v>224361</v>
      </c>
      <c r="I7" s="53">
        <v>0</v>
      </c>
      <c r="J7" s="53">
        <v>0</v>
      </c>
      <c r="K7" s="53">
        <v>0</v>
      </c>
      <c r="L7" s="53">
        <v>2370162</v>
      </c>
      <c r="M7" s="53">
        <v>0</v>
      </c>
      <c r="N7" s="52" t="s">
        <v>17</v>
      </c>
      <c r="O7" s="52" t="s">
        <v>19</v>
      </c>
      <c r="P7" s="50" t="s">
        <v>19</v>
      </c>
    </row>
    <row r="8" spans="1:16" ht="15" customHeight="1" x14ac:dyDescent="0.35">
      <c r="A8" s="50" t="s">
        <v>69</v>
      </c>
      <c r="B8" s="50" t="s">
        <v>70</v>
      </c>
      <c r="C8" s="50" t="s">
        <v>38</v>
      </c>
      <c r="D8" s="51">
        <v>120000</v>
      </c>
      <c r="E8" s="51">
        <v>0</v>
      </c>
      <c r="F8" s="51">
        <v>0</v>
      </c>
      <c r="G8" s="51">
        <v>0</v>
      </c>
      <c r="H8" s="51">
        <v>0</v>
      </c>
      <c r="I8" s="51">
        <v>1422731</v>
      </c>
      <c r="J8" s="51">
        <v>0</v>
      </c>
      <c r="K8" s="51">
        <v>0</v>
      </c>
      <c r="L8" s="51">
        <v>1542731</v>
      </c>
      <c r="M8" s="51">
        <v>0</v>
      </c>
      <c r="N8" s="50" t="s">
        <v>30</v>
      </c>
      <c r="O8" s="50" t="s">
        <v>19</v>
      </c>
      <c r="P8" s="50" t="s">
        <v>19</v>
      </c>
    </row>
    <row r="9" spans="1:16" ht="15" customHeight="1" x14ac:dyDescent="0.35">
      <c r="A9" s="52" t="s">
        <v>71</v>
      </c>
      <c r="B9" s="52" t="s">
        <v>72</v>
      </c>
      <c r="C9" s="52" t="s">
        <v>36</v>
      </c>
      <c r="D9" s="53">
        <v>294030</v>
      </c>
      <c r="E9" s="53">
        <v>0</v>
      </c>
      <c r="F9" s="53">
        <v>0</v>
      </c>
      <c r="G9" s="53">
        <v>0</v>
      </c>
      <c r="H9" s="53">
        <v>0</v>
      </c>
      <c r="I9" s="53">
        <v>0</v>
      </c>
      <c r="J9" s="53">
        <v>0</v>
      </c>
      <c r="K9" s="53">
        <v>0</v>
      </c>
      <c r="L9" s="53">
        <v>294030</v>
      </c>
      <c r="M9" s="53">
        <v>0</v>
      </c>
      <c r="N9" s="52" t="s">
        <v>23</v>
      </c>
      <c r="O9" s="52" t="s">
        <v>27</v>
      </c>
      <c r="P9" s="52" t="s">
        <v>16</v>
      </c>
    </row>
    <row r="10" spans="1:16" ht="15" customHeight="1" x14ac:dyDescent="0.35">
      <c r="A10" s="50" t="s">
        <v>73</v>
      </c>
      <c r="B10" s="50" t="s">
        <v>74</v>
      </c>
      <c r="C10" s="50" t="s">
        <v>36</v>
      </c>
      <c r="D10" s="51">
        <v>351202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1468020</v>
      </c>
      <c r="L10" s="51">
        <v>1819222</v>
      </c>
      <c r="M10" s="51">
        <v>0</v>
      </c>
      <c r="N10" s="50" t="s">
        <v>23</v>
      </c>
      <c r="O10" s="50" t="s">
        <v>27</v>
      </c>
      <c r="P10" s="50" t="s">
        <v>18</v>
      </c>
    </row>
    <row r="11" spans="1:16" ht="15" customHeight="1" x14ac:dyDescent="0.35">
      <c r="A11" s="52" t="s">
        <v>75</v>
      </c>
      <c r="B11" s="52" t="s">
        <v>76</v>
      </c>
      <c r="C11" s="52" t="s">
        <v>36</v>
      </c>
      <c r="D11" s="53">
        <v>0</v>
      </c>
      <c r="E11" s="53">
        <v>1799573</v>
      </c>
      <c r="F11" s="53">
        <v>0</v>
      </c>
      <c r="G11" s="53">
        <v>0</v>
      </c>
      <c r="H11" s="53">
        <v>0</v>
      </c>
      <c r="I11" s="53">
        <v>1451489</v>
      </c>
      <c r="J11" s="53">
        <v>0</v>
      </c>
      <c r="K11" s="53">
        <v>0</v>
      </c>
      <c r="L11" s="53">
        <v>3251062</v>
      </c>
      <c r="M11" s="53">
        <v>0</v>
      </c>
      <c r="N11" s="52" t="s">
        <v>23</v>
      </c>
      <c r="O11" s="52" t="s">
        <v>27</v>
      </c>
      <c r="P11" s="52" t="s">
        <v>16</v>
      </c>
    </row>
    <row r="12" spans="1:16" ht="15" customHeight="1" x14ac:dyDescent="0.35">
      <c r="A12" s="50" t="s">
        <v>77</v>
      </c>
      <c r="B12" s="50" t="s">
        <v>78</v>
      </c>
      <c r="C12" s="50" t="s">
        <v>36</v>
      </c>
      <c r="D12" s="51">
        <v>0</v>
      </c>
      <c r="E12" s="51">
        <v>1320686</v>
      </c>
      <c r="F12" s="51">
        <v>0</v>
      </c>
      <c r="G12" s="51">
        <v>0</v>
      </c>
      <c r="H12" s="51">
        <v>0</v>
      </c>
      <c r="I12" s="51">
        <v>1380112</v>
      </c>
      <c r="J12" s="51">
        <v>0</v>
      </c>
      <c r="K12" s="51">
        <v>0</v>
      </c>
      <c r="L12" s="51">
        <v>2700798</v>
      </c>
      <c r="M12" s="51">
        <v>0</v>
      </c>
      <c r="N12" s="50" t="s">
        <v>23</v>
      </c>
      <c r="O12" s="50" t="s">
        <v>27</v>
      </c>
      <c r="P12" s="50" t="s">
        <v>16</v>
      </c>
    </row>
    <row r="13" spans="1:16" ht="15" customHeight="1" x14ac:dyDescent="0.35">
      <c r="A13" s="52" t="s">
        <v>79</v>
      </c>
      <c r="B13" s="52" t="s">
        <v>79</v>
      </c>
      <c r="C13" s="52" t="s">
        <v>38</v>
      </c>
      <c r="D13" s="53">
        <v>0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1354022</v>
      </c>
      <c r="L13" s="53">
        <v>1354022</v>
      </c>
      <c r="M13" s="53">
        <v>0</v>
      </c>
      <c r="N13" s="52" t="s">
        <v>28</v>
      </c>
      <c r="O13" s="52" t="s">
        <v>19</v>
      </c>
      <c r="P13" s="50" t="s">
        <v>19</v>
      </c>
    </row>
    <row r="14" spans="1:16" ht="15" customHeight="1" x14ac:dyDescent="0.35">
      <c r="A14" s="50" t="s">
        <v>80</v>
      </c>
      <c r="B14" s="50" t="s">
        <v>81</v>
      </c>
      <c r="C14" s="50" t="s">
        <v>36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700064</v>
      </c>
      <c r="J14" s="51">
        <v>0</v>
      </c>
      <c r="K14" s="51">
        <v>0</v>
      </c>
      <c r="L14" s="51">
        <v>1082598</v>
      </c>
      <c r="M14" s="51">
        <v>0</v>
      </c>
      <c r="N14" s="50" t="s">
        <v>23</v>
      </c>
      <c r="O14" s="50" t="s">
        <v>18</v>
      </c>
      <c r="P14" s="50" t="s">
        <v>18</v>
      </c>
    </row>
    <row r="15" spans="1:16" ht="15" customHeight="1" x14ac:dyDescent="0.35">
      <c r="A15" s="52" t="s">
        <v>82</v>
      </c>
      <c r="B15" s="52" t="s">
        <v>83</v>
      </c>
      <c r="C15" s="52" t="s">
        <v>38</v>
      </c>
      <c r="D15" s="53">
        <v>0</v>
      </c>
      <c r="E15" s="53">
        <v>0</v>
      </c>
      <c r="F15" s="53">
        <v>0</v>
      </c>
      <c r="G15" s="53">
        <v>0</v>
      </c>
      <c r="H15" s="53">
        <v>817657</v>
      </c>
      <c r="I15" s="53">
        <v>0</v>
      </c>
      <c r="J15" s="53">
        <v>0</v>
      </c>
      <c r="K15" s="53">
        <v>1245193</v>
      </c>
      <c r="L15" s="53">
        <v>2062850</v>
      </c>
      <c r="M15" s="53">
        <v>0</v>
      </c>
      <c r="N15" s="52" t="s">
        <v>28</v>
      </c>
      <c r="O15" s="52" t="s">
        <v>19</v>
      </c>
      <c r="P15" s="50" t="s">
        <v>19</v>
      </c>
    </row>
    <row r="16" spans="1:16" ht="15" customHeight="1" x14ac:dyDescent="0.35">
      <c r="A16" s="50" t="s">
        <v>84</v>
      </c>
      <c r="B16" s="50" t="s">
        <v>85</v>
      </c>
      <c r="C16" s="50" t="s">
        <v>36</v>
      </c>
      <c r="D16" s="51">
        <v>0</v>
      </c>
      <c r="E16" s="51">
        <v>0</v>
      </c>
      <c r="F16" s="51">
        <v>0</v>
      </c>
      <c r="G16" s="51">
        <v>0</v>
      </c>
      <c r="H16" s="51">
        <v>246353</v>
      </c>
      <c r="I16" s="51">
        <v>772313</v>
      </c>
      <c r="J16" s="51">
        <v>386158</v>
      </c>
      <c r="K16" s="51">
        <v>0</v>
      </c>
      <c r="L16" s="51">
        <v>1404824</v>
      </c>
      <c r="M16" s="51">
        <v>800000</v>
      </c>
      <c r="N16" s="50" t="s">
        <v>23</v>
      </c>
      <c r="O16" s="50" t="s">
        <v>27</v>
      </c>
      <c r="P16" s="50" t="s">
        <v>18</v>
      </c>
    </row>
    <row r="17" spans="1:16" ht="15" customHeight="1" x14ac:dyDescent="0.35">
      <c r="A17" s="52" t="s">
        <v>86</v>
      </c>
      <c r="B17" s="52" t="s">
        <v>87</v>
      </c>
      <c r="C17" s="52" t="s">
        <v>36</v>
      </c>
      <c r="D17" s="53">
        <v>265498</v>
      </c>
      <c r="E17" s="53">
        <v>0</v>
      </c>
      <c r="F17" s="53">
        <v>370541</v>
      </c>
      <c r="G17" s="53">
        <v>265498</v>
      </c>
      <c r="H17" s="53">
        <v>0</v>
      </c>
      <c r="I17" s="53">
        <v>0</v>
      </c>
      <c r="J17" s="53">
        <v>744459</v>
      </c>
      <c r="K17" s="53">
        <v>0</v>
      </c>
      <c r="L17" s="53">
        <v>1645996</v>
      </c>
      <c r="M17" s="53">
        <v>0</v>
      </c>
      <c r="N17" s="52" t="s">
        <v>23</v>
      </c>
      <c r="O17" s="52" t="s">
        <v>19</v>
      </c>
      <c r="P17" s="50" t="s">
        <v>19</v>
      </c>
    </row>
    <row r="18" spans="1:16" ht="15" customHeight="1" x14ac:dyDescent="0.35">
      <c r="A18" s="50" t="s">
        <v>88</v>
      </c>
      <c r="B18" s="50" t="s">
        <v>89</v>
      </c>
      <c r="C18" s="50" t="s">
        <v>36</v>
      </c>
      <c r="D18" s="51">
        <v>0</v>
      </c>
      <c r="E18" s="51">
        <v>0</v>
      </c>
      <c r="F18" s="51">
        <v>19333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19333</v>
      </c>
      <c r="M18" s="51">
        <v>0</v>
      </c>
      <c r="N18" s="50" t="s">
        <v>23</v>
      </c>
      <c r="O18" s="50" t="s">
        <v>18</v>
      </c>
      <c r="P18" s="50" t="s">
        <v>18</v>
      </c>
    </row>
    <row r="19" spans="1:16" ht="15" customHeight="1" x14ac:dyDescent="0.35">
      <c r="A19" s="52" t="s">
        <v>90</v>
      </c>
      <c r="B19" s="52" t="s">
        <v>90</v>
      </c>
      <c r="C19" s="52" t="s">
        <v>40</v>
      </c>
      <c r="D19" s="53">
        <v>0</v>
      </c>
      <c r="E19" s="53">
        <v>116041</v>
      </c>
      <c r="F19" s="53">
        <v>0</v>
      </c>
      <c r="G19" s="53">
        <v>0</v>
      </c>
      <c r="H19" s="53">
        <v>240661</v>
      </c>
      <c r="I19" s="53">
        <v>232531</v>
      </c>
      <c r="J19" s="53">
        <v>0</v>
      </c>
      <c r="K19" s="53">
        <v>0</v>
      </c>
      <c r="L19" s="53">
        <v>589233</v>
      </c>
      <c r="M19" s="53">
        <v>0</v>
      </c>
      <c r="N19" s="52" t="s">
        <v>17</v>
      </c>
      <c r="O19" s="52" t="s">
        <v>19</v>
      </c>
      <c r="P19" s="50" t="s">
        <v>19</v>
      </c>
    </row>
    <row r="20" spans="1:16" ht="15" customHeight="1" x14ac:dyDescent="0.35">
      <c r="A20" s="50" t="s">
        <v>91</v>
      </c>
      <c r="B20" s="50" t="s">
        <v>92</v>
      </c>
      <c r="C20" s="50" t="s">
        <v>36</v>
      </c>
      <c r="D20" s="51">
        <v>731076</v>
      </c>
      <c r="E20" s="51">
        <v>0</v>
      </c>
      <c r="F20" s="51">
        <v>0</v>
      </c>
      <c r="G20" s="51">
        <v>0</v>
      </c>
      <c r="H20" s="51">
        <v>0</v>
      </c>
      <c r="I20" s="51">
        <v>913845</v>
      </c>
      <c r="J20" s="51">
        <v>0</v>
      </c>
      <c r="K20" s="51">
        <v>0</v>
      </c>
      <c r="L20" s="51">
        <v>1644921</v>
      </c>
      <c r="M20" s="51">
        <v>0</v>
      </c>
      <c r="N20" s="50" t="s">
        <v>23</v>
      </c>
      <c r="O20" s="50" t="s">
        <v>17</v>
      </c>
      <c r="P20" s="50" t="s">
        <v>16</v>
      </c>
    </row>
    <row r="21" spans="1:16" ht="15" customHeight="1" x14ac:dyDescent="0.35">
      <c r="A21" s="52" t="s">
        <v>93</v>
      </c>
      <c r="B21" s="52" t="s">
        <v>94</v>
      </c>
      <c r="C21" s="52" t="s">
        <v>36</v>
      </c>
      <c r="D21" s="53">
        <v>564773</v>
      </c>
      <c r="E21" s="53">
        <v>0</v>
      </c>
      <c r="F21" s="53">
        <v>0</v>
      </c>
      <c r="G21" s="53">
        <v>0</v>
      </c>
      <c r="H21" s="53">
        <v>0</v>
      </c>
      <c r="I21" s="53">
        <v>809916</v>
      </c>
      <c r="J21" s="53">
        <v>0</v>
      </c>
      <c r="K21" s="53">
        <v>0</v>
      </c>
      <c r="L21" s="53">
        <v>1374689</v>
      </c>
      <c r="M21" s="53">
        <v>0</v>
      </c>
      <c r="N21" s="52" t="s">
        <v>30</v>
      </c>
      <c r="O21" s="52" t="s">
        <v>27</v>
      </c>
      <c r="P21" s="52" t="s">
        <v>16</v>
      </c>
    </row>
    <row r="22" spans="1:16" ht="15" customHeight="1" x14ac:dyDescent="0.35">
      <c r="A22" s="50" t="s">
        <v>95</v>
      </c>
      <c r="B22" s="50" t="s">
        <v>96</v>
      </c>
      <c r="C22" s="50" t="s">
        <v>38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797840</v>
      </c>
      <c r="L22" s="51">
        <v>797840</v>
      </c>
      <c r="M22" s="51">
        <v>0</v>
      </c>
      <c r="N22" s="50" t="s">
        <v>30</v>
      </c>
      <c r="O22" s="50" t="s">
        <v>19</v>
      </c>
      <c r="P22" s="50" t="s">
        <v>19</v>
      </c>
    </row>
    <row r="23" spans="1:16" ht="15" customHeight="1" x14ac:dyDescent="0.35">
      <c r="A23" s="52" t="s">
        <v>97</v>
      </c>
      <c r="B23" s="52" t="s">
        <v>97</v>
      </c>
      <c r="C23" s="52" t="s">
        <v>40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47585</v>
      </c>
      <c r="M23" s="53">
        <v>0</v>
      </c>
      <c r="N23" s="52" t="s">
        <v>33</v>
      </c>
      <c r="O23" s="52" t="s">
        <v>19</v>
      </c>
      <c r="P23" s="50" t="s">
        <v>19</v>
      </c>
    </row>
    <row r="24" spans="1:16" ht="15" customHeight="1" x14ac:dyDescent="0.35">
      <c r="A24" s="50" t="s">
        <v>98</v>
      </c>
      <c r="B24" s="50" t="s">
        <v>99</v>
      </c>
      <c r="C24" s="50" t="s">
        <v>36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732467</v>
      </c>
      <c r="L24" s="51">
        <v>732467</v>
      </c>
      <c r="M24" s="51">
        <v>0</v>
      </c>
      <c r="N24" s="50" t="s">
        <v>23</v>
      </c>
      <c r="O24" s="50" t="s">
        <v>17</v>
      </c>
      <c r="P24" s="50" t="s">
        <v>18</v>
      </c>
    </row>
    <row r="25" spans="1:16" ht="15" customHeight="1" x14ac:dyDescent="0.35">
      <c r="A25" s="52" t="s">
        <v>100</v>
      </c>
      <c r="B25" s="52" t="s">
        <v>100</v>
      </c>
      <c r="C25" s="52" t="s">
        <v>40</v>
      </c>
      <c r="D25" s="53">
        <v>0</v>
      </c>
      <c r="E25" s="53">
        <v>248862</v>
      </c>
      <c r="F25" s="53">
        <v>62216</v>
      </c>
      <c r="G25" s="53">
        <v>0</v>
      </c>
      <c r="H25" s="53">
        <v>62216</v>
      </c>
      <c r="I25" s="53">
        <v>161404</v>
      </c>
      <c r="J25" s="53">
        <v>0</v>
      </c>
      <c r="K25" s="53">
        <v>0</v>
      </c>
      <c r="L25" s="53">
        <v>534698</v>
      </c>
      <c r="M25" s="53">
        <v>0</v>
      </c>
      <c r="N25" s="52" t="s">
        <v>17</v>
      </c>
      <c r="O25" s="52" t="s">
        <v>19</v>
      </c>
      <c r="P25" s="50" t="s">
        <v>19</v>
      </c>
    </row>
    <row r="26" spans="1:16" ht="15" customHeight="1" x14ac:dyDescent="0.35">
      <c r="A26" s="50" t="s">
        <v>101</v>
      </c>
      <c r="B26" s="50" t="s">
        <v>102</v>
      </c>
      <c r="C26" s="50" t="s">
        <v>36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520000</v>
      </c>
      <c r="J26" s="51">
        <v>162749</v>
      </c>
      <c r="K26" s="51">
        <v>0</v>
      </c>
      <c r="L26" s="51">
        <v>682749</v>
      </c>
      <c r="M26" s="51">
        <v>0</v>
      </c>
      <c r="N26" s="50" t="s">
        <v>23</v>
      </c>
      <c r="O26" s="50" t="s">
        <v>27</v>
      </c>
      <c r="P26" s="50" t="s">
        <v>18</v>
      </c>
    </row>
    <row r="27" spans="1:16" ht="15" customHeight="1" x14ac:dyDescent="0.35">
      <c r="A27" s="52" t="s">
        <v>103</v>
      </c>
      <c r="B27" s="52" t="s">
        <v>104</v>
      </c>
      <c r="C27" s="52" t="s">
        <v>36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667504</v>
      </c>
      <c r="J27" s="53">
        <v>0</v>
      </c>
      <c r="K27" s="53">
        <v>0</v>
      </c>
      <c r="L27" s="53">
        <v>667504</v>
      </c>
      <c r="M27" s="53">
        <v>0</v>
      </c>
      <c r="N27" s="52" t="s">
        <v>23</v>
      </c>
      <c r="O27" s="52" t="s">
        <v>27</v>
      </c>
      <c r="P27" s="52" t="s">
        <v>18</v>
      </c>
    </row>
    <row r="28" spans="1:16" ht="15" customHeight="1" x14ac:dyDescent="0.35">
      <c r="A28" s="50" t="s">
        <v>105</v>
      </c>
      <c r="B28" s="50" t="s">
        <v>106</v>
      </c>
      <c r="C28" s="50" t="s">
        <v>36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160300</v>
      </c>
      <c r="K28" s="51">
        <v>502100</v>
      </c>
      <c r="L28" s="51">
        <v>662400</v>
      </c>
      <c r="M28" s="51">
        <v>0</v>
      </c>
      <c r="N28" s="50" t="s">
        <v>23</v>
      </c>
      <c r="O28" s="50" t="s">
        <v>19</v>
      </c>
      <c r="P28" s="50" t="s">
        <v>19</v>
      </c>
    </row>
    <row r="29" spans="1:16" ht="15" customHeight="1" x14ac:dyDescent="0.35">
      <c r="A29" s="52" t="s">
        <v>107</v>
      </c>
      <c r="B29" s="52" t="s">
        <v>108</v>
      </c>
      <c r="C29" s="52" t="s">
        <v>38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645259</v>
      </c>
      <c r="L29" s="53">
        <v>645259</v>
      </c>
      <c r="M29" s="53">
        <v>0</v>
      </c>
      <c r="N29" s="52" t="s">
        <v>30</v>
      </c>
      <c r="O29" s="52" t="s">
        <v>19</v>
      </c>
      <c r="P29" s="50" t="s">
        <v>19</v>
      </c>
    </row>
    <row r="30" spans="1:16" ht="15" customHeight="1" x14ac:dyDescent="0.35">
      <c r="A30" s="50" t="s">
        <v>109</v>
      </c>
      <c r="B30" s="50" t="s">
        <v>109</v>
      </c>
      <c r="C30" s="50" t="s">
        <v>38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632916</v>
      </c>
      <c r="L30" s="51">
        <v>632916</v>
      </c>
      <c r="M30" s="51">
        <v>0</v>
      </c>
      <c r="N30" s="50" t="s">
        <v>28</v>
      </c>
      <c r="O30" s="50" t="s">
        <v>19</v>
      </c>
      <c r="P30" s="50" t="s">
        <v>19</v>
      </c>
    </row>
    <row r="31" spans="1:16" ht="15" customHeight="1" x14ac:dyDescent="0.35">
      <c r="A31" s="52" t="s">
        <v>110</v>
      </c>
      <c r="B31" s="52" t="s">
        <v>111</v>
      </c>
      <c r="C31" s="52" t="s">
        <v>36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614264</v>
      </c>
      <c r="L31" s="53">
        <v>614264</v>
      </c>
      <c r="M31" s="53">
        <v>0</v>
      </c>
      <c r="N31" s="52" t="s">
        <v>23</v>
      </c>
      <c r="O31" s="52" t="s">
        <v>19</v>
      </c>
      <c r="P31" s="50" t="s">
        <v>19</v>
      </c>
    </row>
    <row r="32" spans="1:16" ht="15" customHeight="1" x14ac:dyDescent="0.35">
      <c r="A32" s="50" t="s">
        <v>112</v>
      </c>
      <c r="B32" s="50" t="s">
        <v>113</v>
      </c>
      <c r="C32" s="50" t="s">
        <v>36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611900</v>
      </c>
      <c r="L32" s="51">
        <v>611900</v>
      </c>
      <c r="M32" s="51">
        <v>0</v>
      </c>
      <c r="N32" s="50" t="s">
        <v>23</v>
      </c>
      <c r="O32" s="50" t="s">
        <v>27</v>
      </c>
      <c r="P32" s="50" t="s">
        <v>18</v>
      </c>
    </row>
    <row r="33" spans="1:16" ht="15" customHeight="1" x14ac:dyDescent="0.35">
      <c r="A33" s="52" t="s">
        <v>114</v>
      </c>
      <c r="B33" s="52" t="s">
        <v>115</v>
      </c>
      <c r="C33" s="52" t="s">
        <v>36</v>
      </c>
      <c r="D33" s="53">
        <v>0</v>
      </c>
      <c r="E33" s="53">
        <v>0</v>
      </c>
      <c r="F33" s="53">
        <v>0</v>
      </c>
      <c r="G33" s="53">
        <v>113207</v>
      </c>
      <c r="H33" s="53">
        <v>0</v>
      </c>
      <c r="I33" s="53">
        <v>0</v>
      </c>
      <c r="J33" s="53">
        <v>0</v>
      </c>
      <c r="K33" s="53">
        <v>0</v>
      </c>
      <c r="L33" s="53">
        <v>113207</v>
      </c>
      <c r="M33" s="53">
        <v>0</v>
      </c>
      <c r="N33" s="52" t="s">
        <v>23</v>
      </c>
      <c r="O33" s="52" t="s">
        <v>18</v>
      </c>
      <c r="P33" s="52" t="s">
        <v>18</v>
      </c>
    </row>
    <row r="34" spans="1:16" ht="15" customHeight="1" x14ac:dyDescent="0.35">
      <c r="A34" s="50" t="s">
        <v>116</v>
      </c>
      <c r="B34" s="50" t="s">
        <v>117</v>
      </c>
      <c r="C34" s="50" t="s">
        <v>36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190145</v>
      </c>
      <c r="J34" s="51">
        <v>304232</v>
      </c>
      <c r="K34" s="51">
        <v>0</v>
      </c>
      <c r="L34" s="51">
        <v>570435</v>
      </c>
      <c r="M34" s="51">
        <v>0</v>
      </c>
      <c r="N34" s="50" t="s">
        <v>23</v>
      </c>
      <c r="O34" s="50" t="s">
        <v>22</v>
      </c>
      <c r="P34" s="50" t="s">
        <v>18</v>
      </c>
    </row>
    <row r="35" spans="1:16" ht="15" customHeight="1" x14ac:dyDescent="0.35">
      <c r="A35" s="52" t="s">
        <v>118</v>
      </c>
      <c r="B35" s="52" t="s">
        <v>119</v>
      </c>
      <c r="C35" s="52" t="s">
        <v>36</v>
      </c>
      <c r="D35" s="53">
        <v>0</v>
      </c>
      <c r="E35" s="53">
        <v>300432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300432</v>
      </c>
      <c r="M35" s="53">
        <v>0</v>
      </c>
      <c r="N35" s="52" t="s">
        <v>23</v>
      </c>
      <c r="O35" s="52" t="s">
        <v>27</v>
      </c>
      <c r="P35" s="52" t="s">
        <v>16</v>
      </c>
    </row>
    <row r="36" spans="1:16" ht="15" customHeight="1" x14ac:dyDescent="0.35">
      <c r="A36" s="50" t="s">
        <v>120</v>
      </c>
      <c r="B36" s="50" t="s">
        <v>121</v>
      </c>
      <c r="C36" s="50" t="s">
        <v>38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546240</v>
      </c>
      <c r="L36" s="51">
        <v>546240</v>
      </c>
      <c r="M36" s="51">
        <v>0</v>
      </c>
      <c r="N36" s="50" t="s">
        <v>29</v>
      </c>
      <c r="O36" s="50" t="s">
        <v>19</v>
      </c>
      <c r="P36" s="50" t="s">
        <v>19</v>
      </c>
    </row>
    <row r="37" spans="1:16" ht="15" customHeight="1" x14ac:dyDescent="0.35">
      <c r="A37" s="52" t="s">
        <v>122</v>
      </c>
      <c r="B37" s="52" t="s">
        <v>122</v>
      </c>
      <c r="C37" s="52" t="s">
        <v>40</v>
      </c>
      <c r="D37" s="53">
        <v>252225</v>
      </c>
      <c r="E37" s="53">
        <v>0</v>
      </c>
      <c r="F37" s="53">
        <v>0</v>
      </c>
      <c r="G37" s="53">
        <v>645559</v>
      </c>
      <c r="H37" s="53">
        <v>0</v>
      </c>
      <c r="I37" s="53">
        <v>0</v>
      </c>
      <c r="J37" s="53">
        <v>0</v>
      </c>
      <c r="K37" s="53">
        <v>71865</v>
      </c>
      <c r="L37" s="53">
        <v>969649</v>
      </c>
      <c r="M37" s="53">
        <v>0</v>
      </c>
      <c r="N37" s="52" t="s">
        <v>17</v>
      </c>
      <c r="O37" s="52" t="s">
        <v>19</v>
      </c>
      <c r="P37" s="50" t="s">
        <v>19</v>
      </c>
    </row>
    <row r="38" spans="1:16" ht="15" customHeight="1" x14ac:dyDescent="0.35">
      <c r="A38" s="50" t="s">
        <v>123</v>
      </c>
      <c r="B38" s="50" t="s">
        <v>124</v>
      </c>
      <c r="C38" s="50" t="s">
        <v>36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99998</v>
      </c>
      <c r="L38" s="51">
        <v>466527</v>
      </c>
      <c r="M38" s="51">
        <v>0</v>
      </c>
      <c r="N38" s="50" t="s">
        <v>29</v>
      </c>
      <c r="O38" s="50" t="s">
        <v>19</v>
      </c>
      <c r="P38" s="50" t="s">
        <v>19</v>
      </c>
    </row>
    <row r="39" spans="1:16" ht="15" customHeight="1" x14ac:dyDescent="0.35">
      <c r="A39" s="52" t="s">
        <v>125</v>
      </c>
      <c r="B39" s="52" t="s">
        <v>125</v>
      </c>
      <c r="C39" s="52" t="s">
        <v>38</v>
      </c>
      <c r="D39" s="53">
        <v>0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466209</v>
      </c>
      <c r="L39" s="53">
        <v>466209</v>
      </c>
      <c r="M39" s="53">
        <v>0</v>
      </c>
      <c r="N39" s="52" t="s">
        <v>28</v>
      </c>
      <c r="O39" s="52" t="s">
        <v>19</v>
      </c>
      <c r="P39" s="50" t="s">
        <v>19</v>
      </c>
    </row>
    <row r="40" spans="1:16" ht="15" customHeight="1" x14ac:dyDescent="0.35">
      <c r="A40" s="50" t="s">
        <v>126</v>
      </c>
      <c r="B40" s="50" t="s">
        <v>127</v>
      </c>
      <c r="C40" s="50" t="s">
        <v>36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250001</v>
      </c>
      <c r="J40" s="51">
        <v>0</v>
      </c>
      <c r="K40" s="51">
        <v>0</v>
      </c>
      <c r="L40" s="51">
        <v>250001</v>
      </c>
      <c r="M40" s="51">
        <v>0</v>
      </c>
      <c r="N40" s="50" t="s">
        <v>23</v>
      </c>
      <c r="O40" s="50" t="s">
        <v>27</v>
      </c>
      <c r="P40" s="50" t="s">
        <v>18</v>
      </c>
    </row>
    <row r="41" spans="1:16" ht="15" customHeight="1" x14ac:dyDescent="0.35">
      <c r="A41" s="52" t="s">
        <v>128</v>
      </c>
      <c r="B41" s="52" t="s">
        <v>129</v>
      </c>
      <c r="C41" s="52" t="s">
        <v>36</v>
      </c>
      <c r="D41" s="53">
        <v>78559</v>
      </c>
      <c r="E41" s="53">
        <v>0</v>
      </c>
      <c r="F41" s="53">
        <v>0</v>
      </c>
      <c r="G41" s="53">
        <v>0</v>
      </c>
      <c r="H41" s="53">
        <v>0</v>
      </c>
      <c r="I41" s="53">
        <v>8948</v>
      </c>
      <c r="J41" s="53">
        <v>0</v>
      </c>
      <c r="K41" s="53">
        <v>0</v>
      </c>
      <c r="L41" s="53">
        <v>87507</v>
      </c>
      <c r="M41" s="53">
        <v>0</v>
      </c>
      <c r="N41" s="52" t="s">
        <v>23</v>
      </c>
      <c r="O41" s="52" t="s">
        <v>18</v>
      </c>
      <c r="P41" s="52" t="s">
        <v>16</v>
      </c>
    </row>
    <row r="42" spans="1:16" ht="15" customHeight="1" x14ac:dyDescent="0.35">
      <c r="A42" s="50" t="s">
        <v>130</v>
      </c>
      <c r="B42" s="50" t="s">
        <v>131</v>
      </c>
      <c r="C42" s="50" t="s">
        <v>36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423901</v>
      </c>
      <c r="K42" s="51">
        <v>3719</v>
      </c>
      <c r="L42" s="51">
        <v>427620</v>
      </c>
      <c r="M42" s="51">
        <v>0</v>
      </c>
      <c r="N42" s="50" t="s">
        <v>23</v>
      </c>
      <c r="O42" s="50" t="s">
        <v>19</v>
      </c>
      <c r="P42" s="50" t="s">
        <v>19</v>
      </c>
    </row>
    <row r="43" spans="1:16" ht="15" customHeight="1" x14ac:dyDescent="0.35">
      <c r="A43" s="52" t="s">
        <v>132</v>
      </c>
      <c r="B43" s="52" t="s">
        <v>133</v>
      </c>
      <c r="C43" s="52" t="s">
        <v>38</v>
      </c>
      <c r="D43" s="53">
        <v>0</v>
      </c>
      <c r="E43" s="53">
        <v>0</v>
      </c>
      <c r="F43" s="53">
        <v>0</v>
      </c>
      <c r="G43" s="53">
        <v>0</v>
      </c>
      <c r="H43" s="53">
        <v>0</v>
      </c>
      <c r="I43" s="53">
        <v>18999</v>
      </c>
      <c r="J43" s="53">
        <v>0</v>
      </c>
      <c r="K43" s="53">
        <v>392949</v>
      </c>
      <c r="L43" s="53">
        <v>411948</v>
      </c>
      <c r="M43" s="53">
        <v>0</v>
      </c>
      <c r="N43" s="52" t="s">
        <v>28</v>
      </c>
      <c r="O43" s="52" t="s">
        <v>19</v>
      </c>
      <c r="P43" s="50" t="s">
        <v>19</v>
      </c>
    </row>
    <row r="44" spans="1:16" ht="15" customHeight="1" x14ac:dyDescent="0.35">
      <c r="A44" s="50" t="s">
        <v>134</v>
      </c>
      <c r="B44" s="50" t="s">
        <v>135</v>
      </c>
      <c r="C44" s="50" t="s">
        <v>36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108825</v>
      </c>
      <c r="J44" s="51">
        <v>0</v>
      </c>
      <c r="K44" s="51">
        <v>292240</v>
      </c>
      <c r="L44" s="51">
        <v>401065</v>
      </c>
      <c r="M44" s="51">
        <v>0</v>
      </c>
      <c r="N44" s="50" t="s">
        <v>29</v>
      </c>
      <c r="O44" s="50" t="s">
        <v>19</v>
      </c>
      <c r="P44" s="50" t="s">
        <v>19</v>
      </c>
    </row>
    <row r="45" spans="1:16" ht="15" customHeight="1" x14ac:dyDescent="0.35">
      <c r="A45" s="52" t="s">
        <v>136</v>
      </c>
      <c r="B45" s="52" t="s">
        <v>137</v>
      </c>
      <c r="C45" s="52" t="s">
        <v>36</v>
      </c>
      <c r="D45" s="53">
        <v>0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562069</v>
      </c>
      <c r="K45" s="53">
        <v>0</v>
      </c>
      <c r="L45" s="53">
        <v>562069</v>
      </c>
      <c r="M45" s="53">
        <v>0</v>
      </c>
      <c r="N45" s="52" t="s">
        <v>23</v>
      </c>
      <c r="O45" s="52" t="s">
        <v>25</v>
      </c>
      <c r="P45" s="52" t="s">
        <v>18</v>
      </c>
    </row>
    <row r="46" spans="1:16" ht="15" customHeight="1" x14ac:dyDescent="0.35">
      <c r="A46" s="50" t="s">
        <v>138</v>
      </c>
      <c r="B46" s="50" t="s">
        <v>139</v>
      </c>
      <c r="C46" s="50" t="s">
        <v>36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380431</v>
      </c>
      <c r="J46" s="51">
        <v>0</v>
      </c>
      <c r="K46" s="51">
        <v>0</v>
      </c>
      <c r="L46" s="51">
        <v>380431</v>
      </c>
      <c r="M46" s="51">
        <v>263635</v>
      </c>
      <c r="N46" s="50" t="s">
        <v>23</v>
      </c>
      <c r="O46" s="50" t="s">
        <v>27</v>
      </c>
      <c r="P46" s="50" t="s">
        <v>18</v>
      </c>
    </row>
    <row r="47" spans="1:16" ht="15" customHeight="1" x14ac:dyDescent="0.35">
      <c r="A47" s="52" t="s">
        <v>140</v>
      </c>
      <c r="B47" s="52" t="s">
        <v>141</v>
      </c>
      <c r="C47" s="52" t="s">
        <v>36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378972</v>
      </c>
      <c r="J47" s="53">
        <v>0</v>
      </c>
      <c r="K47" s="53">
        <v>0</v>
      </c>
      <c r="L47" s="53">
        <v>378972</v>
      </c>
      <c r="M47" s="53">
        <v>0</v>
      </c>
      <c r="N47" s="52" t="s">
        <v>23</v>
      </c>
      <c r="O47" s="52" t="s">
        <v>19</v>
      </c>
      <c r="P47" s="50" t="s">
        <v>19</v>
      </c>
    </row>
    <row r="48" spans="1:16" ht="15" customHeight="1" x14ac:dyDescent="0.35">
      <c r="A48" s="50" t="s">
        <v>142</v>
      </c>
      <c r="B48" s="50" t="s">
        <v>142</v>
      </c>
      <c r="C48" s="50" t="s">
        <v>38</v>
      </c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369200</v>
      </c>
      <c r="L48" s="51">
        <v>369200</v>
      </c>
      <c r="M48" s="51">
        <v>0</v>
      </c>
      <c r="N48" s="50" t="s">
        <v>28</v>
      </c>
      <c r="O48" s="50" t="s">
        <v>19</v>
      </c>
      <c r="P48" s="50" t="s">
        <v>19</v>
      </c>
    </row>
    <row r="49" spans="1:16" ht="15" customHeight="1" x14ac:dyDescent="0.35">
      <c r="A49" s="52" t="s">
        <v>143</v>
      </c>
      <c r="B49" s="52" t="s">
        <v>144</v>
      </c>
      <c r="C49" s="52" t="s">
        <v>36</v>
      </c>
      <c r="D49" s="53">
        <v>136127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136127</v>
      </c>
      <c r="M49" s="53">
        <v>0</v>
      </c>
      <c r="N49" s="52" t="s">
        <v>23</v>
      </c>
      <c r="O49" s="52" t="s">
        <v>18</v>
      </c>
      <c r="P49" s="52" t="s">
        <v>16</v>
      </c>
    </row>
    <row r="50" spans="1:16" ht="15" customHeight="1" x14ac:dyDescent="0.35">
      <c r="A50" s="50" t="s">
        <v>145</v>
      </c>
      <c r="B50" s="50" t="s">
        <v>146</v>
      </c>
      <c r="C50" s="50" t="s">
        <v>36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348459</v>
      </c>
      <c r="J50" s="51">
        <v>0</v>
      </c>
      <c r="K50" s="51">
        <v>0</v>
      </c>
      <c r="L50" s="51">
        <v>348459</v>
      </c>
      <c r="M50" s="51">
        <v>0</v>
      </c>
      <c r="N50" s="50" t="s">
        <v>23</v>
      </c>
      <c r="O50" s="50" t="s">
        <v>25</v>
      </c>
      <c r="P50" s="50" t="s">
        <v>18</v>
      </c>
    </row>
    <row r="51" spans="1:16" ht="15" customHeight="1" x14ac:dyDescent="0.35">
      <c r="A51" s="52" t="s">
        <v>147</v>
      </c>
      <c r="B51" s="52" t="s">
        <v>148</v>
      </c>
      <c r="C51" s="52" t="s">
        <v>36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336957</v>
      </c>
      <c r="J51" s="53">
        <v>0</v>
      </c>
      <c r="K51" s="53">
        <v>0</v>
      </c>
      <c r="L51" s="53">
        <v>336957</v>
      </c>
      <c r="M51" s="53">
        <v>0</v>
      </c>
      <c r="N51" s="52" t="s">
        <v>23</v>
      </c>
      <c r="O51" s="52" t="s">
        <v>19</v>
      </c>
      <c r="P51" s="50" t="s">
        <v>19</v>
      </c>
    </row>
    <row r="52" spans="1:16" ht="15" customHeight="1" x14ac:dyDescent="0.35">
      <c r="A52" s="50" t="s">
        <v>149</v>
      </c>
      <c r="B52" s="50" t="s">
        <v>149</v>
      </c>
      <c r="C52" s="50" t="s">
        <v>40</v>
      </c>
      <c r="D52" s="51">
        <v>769827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769827</v>
      </c>
      <c r="M52" s="51">
        <v>0</v>
      </c>
      <c r="N52" s="50" t="s">
        <v>17</v>
      </c>
      <c r="O52" s="50" t="s">
        <v>19</v>
      </c>
      <c r="P52" s="50" t="s">
        <v>19</v>
      </c>
    </row>
    <row r="53" spans="1:16" ht="15" customHeight="1" x14ac:dyDescent="0.35">
      <c r="A53" s="52" t="s">
        <v>150</v>
      </c>
      <c r="B53" s="52" t="s">
        <v>151</v>
      </c>
      <c r="C53" s="52" t="s">
        <v>38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47200</v>
      </c>
      <c r="K53" s="53">
        <v>73065</v>
      </c>
      <c r="L53" s="53">
        <v>120265</v>
      </c>
      <c r="M53" s="53">
        <v>0</v>
      </c>
      <c r="N53" s="52" t="s">
        <v>29</v>
      </c>
      <c r="O53" s="52" t="s">
        <v>19</v>
      </c>
      <c r="P53" s="50" t="s">
        <v>19</v>
      </c>
    </row>
    <row r="54" spans="1:16" ht="15" customHeight="1" x14ac:dyDescent="0.35">
      <c r="A54" s="50" t="s">
        <v>152</v>
      </c>
      <c r="B54" s="50" t="s">
        <v>152</v>
      </c>
      <c r="C54" s="50" t="s">
        <v>36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300496</v>
      </c>
      <c r="M54" s="51">
        <v>0</v>
      </c>
      <c r="N54" s="50" t="s">
        <v>23</v>
      </c>
      <c r="O54" s="50" t="s">
        <v>18</v>
      </c>
      <c r="P54" s="50" t="s">
        <v>18</v>
      </c>
    </row>
    <row r="55" spans="1:16" ht="15" customHeight="1" x14ac:dyDescent="0.35">
      <c r="A55" s="52" t="s">
        <v>153</v>
      </c>
      <c r="B55" s="52" t="s">
        <v>154</v>
      </c>
      <c r="C55" s="52" t="s">
        <v>36</v>
      </c>
      <c r="D55" s="53">
        <v>0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300000</v>
      </c>
      <c r="L55" s="53">
        <v>300000</v>
      </c>
      <c r="M55" s="53">
        <v>0</v>
      </c>
      <c r="N55" s="52" t="s">
        <v>26</v>
      </c>
      <c r="O55" s="52" t="s">
        <v>25</v>
      </c>
      <c r="P55" s="52" t="s">
        <v>18</v>
      </c>
    </row>
    <row r="56" spans="1:16" ht="15" customHeight="1" x14ac:dyDescent="0.35">
      <c r="A56" s="50" t="s">
        <v>155</v>
      </c>
      <c r="B56" s="50" t="s">
        <v>156</v>
      </c>
      <c r="C56" s="50" t="s">
        <v>36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294801</v>
      </c>
      <c r="L56" s="51">
        <v>294801</v>
      </c>
      <c r="M56" s="51">
        <v>0</v>
      </c>
      <c r="N56" s="50" t="s">
        <v>23</v>
      </c>
      <c r="O56" s="50" t="s">
        <v>25</v>
      </c>
      <c r="P56" s="50" t="s">
        <v>18</v>
      </c>
    </row>
    <row r="57" spans="1:16" ht="15" customHeight="1" x14ac:dyDescent="0.35">
      <c r="A57" s="52" t="s">
        <v>157</v>
      </c>
      <c r="B57" s="52" t="s">
        <v>158</v>
      </c>
      <c r="C57" s="52" t="s">
        <v>36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294000</v>
      </c>
      <c r="L57" s="53">
        <v>294000</v>
      </c>
      <c r="M57" s="53">
        <v>0</v>
      </c>
      <c r="N57" s="52" t="s">
        <v>23</v>
      </c>
      <c r="O57" s="52" t="s">
        <v>22</v>
      </c>
      <c r="P57" s="52" t="s">
        <v>18</v>
      </c>
    </row>
    <row r="58" spans="1:16" ht="15" customHeight="1" x14ac:dyDescent="0.35">
      <c r="A58" s="50" t="s">
        <v>159</v>
      </c>
      <c r="B58" s="50" t="s">
        <v>160</v>
      </c>
      <c r="C58" s="50" t="s">
        <v>36</v>
      </c>
      <c r="D58" s="51">
        <v>0</v>
      </c>
      <c r="E58" s="51">
        <v>0</v>
      </c>
      <c r="F58" s="51">
        <v>0</v>
      </c>
      <c r="G58" s="51">
        <v>34689</v>
      </c>
      <c r="H58" s="51">
        <v>0</v>
      </c>
      <c r="I58" s="51">
        <v>292189</v>
      </c>
      <c r="J58" s="51">
        <v>0</v>
      </c>
      <c r="K58" s="51">
        <v>0</v>
      </c>
      <c r="L58" s="51">
        <v>326878</v>
      </c>
      <c r="M58" s="51">
        <v>0</v>
      </c>
      <c r="N58" s="50" t="s">
        <v>23</v>
      </c>
      <c r="O58" s="50" t="s">
        <v>27</v>
      </c>
      <c r="P58" s="50" t="s">
        <v>18</v>
      </c>
    </row>
    <row r="59" spans="1:16" ht="15" customHeight="1" x14ac:dyDescent="0.35">
      <c r="A59" s="52" t="s">
        <v>161</v>
      </c>
      <c r="B59" s="52" t="s">
        <v>162</v>
      </c>
      <c r="C59" s="52" t="s">
        <v>36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223715</v>
      </c>
      <c r="L59" s="53">
        <v>223715</v>
      </c>
      <c r="M59" s="53">
        <v>0</v>
      </c>
      <c r="N59" s="52" t="s">
        <v>23</v>
      </c>
      <c r="O59" s="52" t="s">
        <v>27</v>
      </c>
      <c r="P59" s="52" t="s">
        <v>18</v>
      </c>
    </row>
    <row r="60" spans="1:16" ht="15" customHeight="1" x14ac:dyDescent="0.35">
      <c r="A60" s="50" t="s">
        <v>163</v>
      </c>
      <c r="B60" s="50" t="s">
        <v>164</v>
      </c>
      <c r="C60" s="50" t="s">
        <v>36</v>
      </c>
      <c r="D60" s="51">
        <v>0</v>
      </c>
      <c r="E60" s="51">
        <v>0</v>
      </c>
      <c r="F60" s="51">
        <v>0</v>
      </c>
      <c r="G60" s="51">
        <v>0</v>
      </c>
      <c r="H60" s="51">
        <v>227454</v>
      </c>
      <c r="I60" s="51">
        <v>0</v>
      </c>
      <c r="J60" s="51">
        <v>0</v>
      </c>
      <c r="K60" s="51">
        <v>0</v>
      </c>
      <c r="L60" s="51">
        <v>227454</v>
      </c>
      <c r="M60" s="51">
        <v>0</v>
      </c>
      <c r="N60" s="50" t="s">
        <v>23</v>
      </c>
      <c r="O60" s="50" t="s">
        <v>18</v>
      </c>
      <c r="P60" s="50" t="s">
        <v>18</v>
      </c>
    </row>
    <row r="61" spans="1:16" ht="15" customHeight="1" x14ac:dyDescent="0.35">
      <c r="A61" s="52" t="s">
        <v>165</v>
      </c>
      <c r="B61" s="52" t="s">
        <v>166</v>
      </c>
      <c r="C61" s="52" t="s">
        <v>36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255915</v>
      </c>
      <c r="J61" s="53">
        <v>0</v>
      </c>
      <c r="K61" s="53">
        <v>0</v>
      </c>
      <c r="L61" s="53">
        <v>255915</v>
      </c>
      <c r="M61" s="53">
        <v>0</v>
      </c>
      <c r="N61" s="52" t="s">
        <v>23</v>
      </c>
      <c r="O61" s="52" t="s">
        <v>27</v>
      </c>
      <c r="P61" s="52" t="s">
        <v>18</v>
      </c>
    </row>
    <row r="62" spans="1:16" ht="15" customHeight="1" x14ac:dyDescent="0.35">
      <c r="A62" s="50" t="s">
        <v>167</v>
      </c>
      <c r="B62" s="50" t="s">
        <v>168</v>
      </c>
      <c r="C62" s="50" t="s">
        <v>38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252780</v>
      </c>
      <c r="L62" s="51">
        <v>252780</v>
      </c>
      <c r="M62" s="51">
        <v>0</v>
      </c>
      <c r="N62" s="50" t="s">
        <v>28</v>
      </c>
      <c r="O62" s="50" t="s">
        <v>19</v>
      </c>
      <c r="P62" s="50" t="s">
        <v>19</v>
      </c>
    </row>
    <row r="63" spans="1:16" ht="15" customHeight="1" x14ac:dyDescent="0.35">
      <c r="A63" s="52" t="s">
        <v>169</v>
      </c>
      <c r="B63" s="52" t="s">
        <v>170</v>
      </c>
      <c r="C63" s="52" t="s">
        <v>38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52468</v>
      </c>
      <c r="K63" s="53">
        <v>0</v>
      </c>
      <c r="L63" s="53">
        <v>52468</v>
      </c>
      <c r="M63" s="53">
        <v>0</v>
      </c>
      <c r="N63" s="52" t="s">
        <v>23</v>
      </c>
      <c r="O63" s="52" t="s">
        <v>19</v>
      </c>
      <c r="P63" s="50" t="s">
        <v>19</v>
      </c>
    </row>
    <row r="64" spans="1:16" ht="15" customHeight="1" x14ac:dyDescent="0.35">
      <c r="A64" s="50" t="s">
        <v>171</v>
      </c>
      <c r="B64" s="50" t="s">
        <v>172</v>
      </c>
      <c r="C64" s="50" t="s">
        <v>36</v>
      </c>
      <c r="D64" s="51">
        <v>0</v>
      </c>
      <c r="E64" s="51">
        <v>0</v>
      </c>
      <c r="F64" s="51">
        <v>110391</v>
      </c>
      <c r="G64" s="51">
        <v>0</v>
      </c>
      <c r="H64" s="51">
        <v>0</v>
      </c>
      <c r="I64" s="51">
        <v>115358</v>
      </c>
      <c r="J64" s="51">
        <v>115358</v>
      </c>
      <c r="K64" s="51">
        <v>0</v>
      </c>
      <c r="L64" s="51">
        <v>341107</v>
      </c>
      <c r="M64" s="51">
        <v>0</v>
      </c>
      <c r="N64" s="50" t="s">
        <v>23</v>
      </c>
      <c r="O64" s="50" t="s">
        <v>27</v>
      </c>
      <c r="P64" s="50" t="s">
        <v>18</v>
      </c>
    </row>
    <row r="65" spans="1:16" ht="15" customHeight="1" x14ac:dyDescent="0.35">
      <c r="A65" s="52" t="s">
        <v>173</v>
      </c>
      <c r="B65" s="52" t="s">
        <v>174</v>
      </c>
      <c r="C65" s="52" t="s">
        <v>36</v>
      </c>
      <c r="D65" s="53">
        <v>0</v>
      </c>
      <c r="E65" s="53">
        <v>1548286</v>
      </c>
      <c r="F65" s="53">
        <v>255915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1804201</v>
      </c>
      <c r="M65" s="53">
        <v>0</v>
      </c>
      <c r="N65" s="52" t="s">
        <v>30</v>
      </c>
      <c r="O65" s="52" t="s">
        <v>27</v>
      </c>
      <c r="P65" s="52" t="s">
        <v>16</v>
      </c>
    </row>
    <row r="66" spans="1:16" ht="15" customHeight="1" x14ac:dyDescent="0.35">
      <c r="A66" s="50" t="s">
        <v>175</v>
      </c>
      <c r="B66" s="50" t="s">
        <v>176</v>
      </c>
      <c r="C66" s="50" t="s">
        <v>36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96812</v>
      </c>
      <c r="L66" s="51">
        <v>96812</v>
      </c>
      <c r="M66" s="51">
        <v>0</v>
      </c>
      <c r="N66" s="50" t="s">
        <v>23</v>
      </c>
      <c r="O66" s="50" t="s">
        <v>27</v>
      </c>
      <c r="P66" s="50" t="s">
        <v>18</v>
      </c>
    </row>
    <row r="67" spans="1:16" ht="15" customHeight="1" x14ac:dyDescent="0.35">
      <c r="A67" s="52" t="s">
        <v>177</v>
      </c>
      <c r="B67" s="52" t="s">
        <v>178</v>
      </c>
      <c r="C67" s="52" t="s">
        <v>36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213609</v>
      </c>
      <c r="K67" s="53">
        <v>0</v>
      </c>
      <c r="L67" s="53">
        <v>213609</v>
      </c>
      <c r="M67" s="53">
        <v>0</v>
      </c>
      <c r="N67" s="52" t="s">
        <v>23</v>
      </c>
      <c r="O67" s="52" t="s">
        <v>18</v>
      </c>
      <c r="P67" s="52" t="s">
        <v>18</v>
      </c>
    </row>
    <row r="68" spans="1:16" ht="15" customHeight="1" x14ac:dyDescent="0.35">
      <c r="A68" s="50" t="s">
        <v>179</v>
      </c>
      <c r="B68" s="50" t="s">
        <v>180</v>
      </c>
      <c r="C68" s="50" t="s">
        <v>38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210738</v>
      </c>
      <c r="L68" s="51">
        <v>210738</v>
      </c>
      <c r="M68" s="51">
        <v>0</v>
      </c>
      <c r="N68" s="50" t="s">
        <v>28</v>
      </c>
      <c r="O68" s="50" t="s">
        <v>19</v>
      </c>
      <c r="P68" s="50" t="s">
        <v>19</v>
      </c>
    </row>
    <row r="69" spans="1:16" ht="15" customHeight="1" x14ac:dyDescent="0.35">
      <c r="A69" s="52" t="s">
        <v>181</v>
      </c>
      <c r="B69" s="52" t="s">
        <v>182</v>
      </c>
      <c r="C69" s="52" t="s">
        <v>36</v>
      </c>
      <c r="D69" s="53">
        <v>0</v>
      </c>
      <c r="E69" s="53">
        <v>0</v>
      </c>
      <c r="F69" s="53">
        <v>190793</v>
      </c>
      <c r="G69" s="53">
        <v>0</v>
      </c>
      <c r="H69" s="53">
        <v>0</v>
      </c>
      <c r="I69" s="53">
        <v>0</v>
      </c>
      <c r="J69" s="53">
        <v>0</v>
      </c>
      <c r="K69" s="53">
        <v>199378</v>
      </c>
      <c r="L69" s="53">
        <v>390171</v>
      </c>
      <c r="M69" s="53">
        <v>0</v>
      </c>
      <c r="N69" s="52" t="s">
        <v>23</v>
      </c>
      <c r="O69" s="52" t="s">
        <v>27</v>
      </c>
      <c r="P69" s="52" t="s">
        <v>18</v>
      </c>
    </row>
    <row r="70" spans="1:16" ht="15" customHeight="1" x14ac:dyDescent="0.35">
      <c r="A70" s="50" t="s">
        <v>183</v>
      </c>
      <c r="B70" s="50" t="s">
        <v>184</v>
      </c>
      <c r="C70" s="50" t="s">
        <v>36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188059</v>
      </c>
      <c r="J70" s="51">
        <v>0</v>
      </c>
      <c r="K70" s="51">
        <v>0</v>
      </c>
      <c r="L70" s="51">
        <v>188059</v>
      </c>
      <c r="M70" s="51">
        <v>0</v>
      </c>
      <c r="N70" s="50" t="s">
        <v>23</v>
      </c>
      <c r="O70" s="50" t="s">
        <v>25</v>
      </c>
      <c r="P70" s="50" t="s">
        <v>18</v>
      </c>
    </row>
    <row r="71" spans="1:16" ht="15" customHeight="1" x14ac:dyDescent="0.35">
      <c r="A71" s="52" t="s">
        <v>185</v>
      </c>
      <c r="B71" s="52" t="s">
        <v>186</v>
      </c>
      <c r="C71" s="52" t="s">
        <v>36</v>
      </c>
      <c r="D71" s="53">
        <v>0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187307</v>
      </c>
      <c r="L71" s="53">
        <v>187307</v>
      </c>
      <c r="M71" s="53">
        <v>0</v>
      </c>
      <c r="N71" s="52" t="s">
        <v>23</v>
      </c>
      <c r="O71" s="52" t="s">
        <v>18</v>
      </c>
      <c r="P71" s="52" t="s">
        <v>18</v>
      </c>
    </row>
    <row r="72" spans="1:16" ht="15" customHeight="1" x14ac:dyDescent="0.35">
      <c r="A72" s="50" t="s">
        <v>187</v>
      </c>
      <c r="B72" s="50" t="s">
        <v>187</v>
      </c>
      <c r="C72" s="50" t="s">
        <v>40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177872</v>
      </c>
      <c r="L72" s="51">
        <v>177872</v>
      </c>
      <c r="M72" s="51">
        <v>0</v>
      </c>
      <c r="N72" s="50" t="s">
        <v>17</v>
      </c>
      <c r="O72" s="50" t="s">
        <v>19</v>
      </c>
      <c r="P72" s="50" t="s">
        <v>19</v>
      </c>
    </row>
    <row r="73" spans="1:16" ht="15" customHeight="1" x14ac:dyDescent="0.35">
      <c r="A73" s="52" t="s">
        <v>188</v>
      </c>
      <c r="B73" s="52" t="s">
        <v>189</v>
      </c>
      <c r="C73" s="52" t="s">
        <v>38</v>
      </c>
      <c r="D73" s="53">
        <v>0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176126</v>
      </c>
      <c r="L73" s="53">
        <v>176126</v>
      </c>
      <c r="M73" s="53">
        <v>0</v>
      </c>
      <c r="N73" s="52" t="s">
        <v>28</v>
      </c>
      <c r="O73" s="52" t="s">
        <v>19</v>
      </c>
      <c r="P73" s="50" t="s">
        <v>19</v>
      </c>
    </row>
    <row r="74" spans="1:16" ht="15" customHeight="1" x14ac:dyDescent="0.35">
      <c r="A74" s="50" t="s">
        <v>190</v>
      </c>
      <c r="B74" s="50" t="s">
        <v>191</v>
      </c>
      <c r="C74" s="50" t="s">
        <v>38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171732</v>
      </c>
      <c r="K74" s="51">
        <v>0</v>
      </c>
      <c r="L74" s="51">
        <v>171732</v>
      </c>
      <c r="M74" s="51">
        <v>0</v>
      </c>
      <c r="N74" s="50" t="s">
        <v>23</v>
      </c>
      <c r="O74" s="50" t="s">
        <v>18</v>
      </c>
      <c r="P74" s="50" t="s">
        <v>18</v>
      </c>
    </row>
    <row r="75" spans="1:16" ht="15" customHeight="1" x14ac:dyDescent="0.35">
      <c r="A75" s="52" t="s">
        <v>192</v>
      </c>
      <c r="B75" s="52" t="s">
        <v>193</v>
      </c>
      <c r="C75" s="52" t="s">
        <v>36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171000</v>
      </c>
      <c r="L75" s="53">
        <v>171000</v>
      </c>
      <c r="M75" s="53">
        <v>0</v>
      </c>
      <c r="N75" s="52" t="s">
        <v>23</v>
      </c>
      <c r="O75" s="52" t="s">
        <v>18</v>
      </c>
      <c r="P75" s="52" t="s">
        <v>18</v>
      </c>
    </row>
    <row r="76" spans="1:16" ht="15" customHeight="1" x14ac:dyDescent="0.35">
      <c r="A76" s="50" t="s">
        <v>194</v>
      </c>
      <c r="B76" s="50" t="s">
        <v>195</v>
      </c>
      <c r="C76" s="50" t="s">
        <v>36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144</v>
      </c>
      <c r="J76" s="51">
        <v>0</v>
      </c>
      <c r="K76" s="51">
        <v>0</v>
      </c>
      <c r="L76" s="51">
        <v>144</v>
      </c>
      <c r="M76" s="51">
        <v>0</v>
      </c>
      <c r="N76" s="50" t="s">
        <v>23</v>
      </c>
      <c r="O76" s="50" t="s">
        <v>18</v>
      </c>
      <c r="P76" s="50" t="s">
        <v>18</v>
      </c>
    </row>
    <row r="77" spans="1:16" ht="15" customHeight="1" x14ac:dyDescent="0.35">
      <c r="A77" s="52" t="s">
        <v>196</v>
      </c>
      <c r="B77" s="52" t="s">
        <v>196</v>
      </c>
      <c r="C77" s="52" t="s">
        <v>40</v>
      </c>
      <c r="D77" s="53">
        <v>0</v>
      </c>
      <c r="E77" s="53">
        <v>163411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163411</v>
      </c>
      <c r="M77" s="53">
        <v>0</v>
      </c>
      <c r="N77" s="52" t="s">
        <v>17</v>
      </c>
      <c r="O77" s="52" t="s">
        <v>19</v>
      </c>
      <c r="P77" s="50" t="s">
        <v>19</v>
      </c>
    </row>
    <row r="78" spans="1:16" ht="15" customHeight="1" x14ac:dyDescent="0.35">
      <c r="A78" s="50" t="s">
        <v>197</v>
      </c>
      <c r="B78" s="50" t="s">
        <v>198</v>
      </c>
      <c r="C78" s="50" t="s">
        <v>36</v>
      </c>
      <c r="D78" s="51">
        <v>0</v>
      </c>
      <c r="E78" s="51">
        <v>0</v>
      </c>
      <c r="F78" s="51">
        <v>0</v>
      </c>
      <c r="G78" s="51">
        <v>165010</v>
      </c>
      <c r="H78" s="51">
        <v>0</v>
      </c>
      <c r="I78" s="51">
        <v>165010</v>
      </c>
      <c r="J78" s="51">
        <v>0</v>
      </c>
      <c r="K78" s="51">
        <v>0</v>
      </c>
      <c r="L78" s="51">
        <v>330020</v>
      </c>
      <c r="M78" s="51">
        <v>0</v>
      </c>
      <c r="N78" s="50" t="s">
        <v>23</v>
      </c>
      <c r="O78" s="50" t="s">
        <v>18</v>
      </c>
      <c r="P78" s="50" t="s">
        <v>18</v>
      </c>
    </row>
    <row r="79" spans="1:16" ht="15" customHeight="1" x14ac:dyDescent="0.35">
      <c r="A79" s="52" t="s">
        <v>199</v>
      </c>
      <c r="B79" s="52" t="s">
        <v>200</v>
      </c>
      <c r="C79" s="52" t="s">
        <v>36</v>
      </c>
      <c r="D79" s="53">
        <v>0</v>
      </c>
      <c r="E79" s="53">
        <v>0</v>
      </c>
      <c r="F79" s="53">
        <v>0</v>
      </c>
      <c r="G79" s="53">
        <v>227795</v>
      </c>
      <c r="H79" s="53">
        <v>0</v>
      </c>
      <c r="I79" s="53">
        <v>0</v>
      </c>
      <c r="J79" s="53">
        <v>162000</v>
      </c>
      <c r="K79" s="53">
        <v>0</v>
      </c>
      <c r="L79" s="53">
        <v>389795</v>
      </c>
      <c r="M79" s="53">
        <v>162000</v>
      </c>
      <c r="N79" s="52" t="s">
        <v>23</v>
      </c>
      <c r="O79" s="52" t="s">
        <v>17</v>
      </c>
      <c r="P79" s="52" t="s">
        <v>18</v>
      </c>
    </row>
    <row r="80" spans="1:16" ht="15" customHeight="1" x14ac:dyDescent="0.35">
      <c r="A80" s="50" t="s">
        <v>201</v>
      </c>
      <c r="B80" s="50" t="s">
        <v>202</v>
      </c>
      <c r="C80" s="50" t="s">
        <v>36</v>
      </c>
      <c r="D80" s="51">
        <v>0</v>
      </c>
      <c r="E80" s="51">
        <v>0</v>
      </c>
      <c r="F80" s="51">
        <v>0</v>
      </c>
      <c r="G80" s="51">
        <v>0</v>
      </c>
      <c r="H80" s="51">
        <v>373222</v>
      </c>
      <c r="I80" s="51">
        <v>0</v>
      </c>
      <c r="J80" s="51">
        <v>0</v>
      </c>
      <c r="K80" s="51">
        <v>0</v>
      </c>
      <c r="L80" s="51">
        <v>529345</v>
      </c>
      <c r="M80" s="51">
        <v>0</v>
      </c>
      <c r="N80" s="50" t="s">
        <v>23</v>
      </c>
      <c r="O80" s="50" t="s">
        <v>19</v>
      </c>
      <c r="P80" s="50" t="s">
        <v>19</v>
      </c>
    </row>
    <row r="81" spans="1:16" ht="15" customHeight="1" x14ac:dyDescent="0.35">
      <c r="A81" s="52" t="s">
        <v>203</v>
      </c>
      <c r="B81" s="52" t="s">
        <v>204</v>
      </c>
      <c r="C81" s="52" t="s">
        <v>36</v>
      </c>
      <c r="D81" s="53">
        <v>0</v>
      </c>
      <c r="E81" s="53">
        <v>0</v>
      </c>
      <c r="F81" s="53">
        <v>0</v>
      </c>
      <c r="G81" s="53">
        <v>0</v>
      </c>
      <c r="H81" s="53">
        <v>7412</v>
      </c>
      <c r="I81" s="53">
        <v>0</v>
      </c>
      <c r="J81" s="53">
        <v>0</v>
      </c>
      <c r="K81" s="53">
        <v>0</v>
      </c>
      <c r="L81" s="53">
        <v>7412</v>
      </c>
      <c r="M81" s="53">
        <v>0</v>
      </c>
      <c r="N81" s="52" t="s">
        <v>23</v>
      </c>
      <c r="O81" s="52" t="s">
        <v>18</v>
      </c>
      <c r="P81" s="52" t="s">
        <v>18</v>
      </c>
    </row>
    <row r="82" spans="1:16" ht="15" customHeight="1" x14ac:dyDescent="0.35">
      <c r="A82" s="50" t="s">
        <v>205</v>
      </c>
      <c r="B82" s="50" t="s">
        <v>205</v>
      </c>
      <c r="C82" s="50" t="s">
        <v>38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152613</v>
      </c>
      <c r="L82" s="51">
        <v>152613</v>
      </c>
      <c r="M82" s="51">
        <v>0</v>
      </c>
      <c r="N82" s="50" t="s">
        <v>28</v>
      </c>
      <c r="O82" s="50" t="s">
        <v>19</v>
      </c>
      <c r="P82" s="50" t="s">
        <v>19</v>
      </c>
    </row>
    <row r="83" spans="1:16" ht="15" customHeight="1" x14ac:dyDescent="0.35">
      <c r="A83" s="52" t="s">
        <v>206</v>
      </c>
      <c r="B83" s="52" t="s">
        <v>207</v>
      </c>
      <c r="C83" s="52" t="s">
        <v>36</v>
      </c>
      <c r="D83" s="53">
        <v>0</v>
      </c>
      <c r="E83" s="53">
        <v>0</v>
      </c>
      <c r="F83" s="53">
        <v>0</v>
      </c>
      <c r="G83" s="53">
        <v>0</v>
      </c>
      <c r="H83" s="53">
        <v>0</v>
      </c>
      <c r="I83" s="53">
        <v>149349</v>
      </c>
      <c r="J83" s="53">
        <v>0</v>
      </c>
      <c r="K83" s="53">
        <v>0</v>
      </c>
      <c r="L83" s="53">
        <v>149349</v>
      </c>
      <c r="M83" s="53">
        <v>0</v>
      </c>
      <c r="N83" s="52" t="s">
        <v>23</v>
      </c>
      <c r="O83" s="52" t="s">
        <v>18</v>
      </c>
      <c r="P83" s="52" t="s">
        <v>18</v>
      </c>
    </row>
    <row r="84" spans="1:16" ht="15" customHeight="1" x14ac:dyDescent="0.35">
      <c r="A84" s="50" t="s">
        <v>208</v>
      </c>
      <c r="B84" s="50" t="s">
        <v>208</v>
      </c>
      <c r="C84" s="50" t="s">
        <v>38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151635</v>
      </c>
      <c r="L84" s="51">
        <v>151635</v>
      </c>
      <c r="M84" s="51">
        <v>0</v>
      </c>
      <c r="N84" s="50" t="s">
        <v>29</v>
      </c>
      <c r="O84" s="50" t="s">
        <v>19</v>
      </c>
      <c r="P84" s="50" t="s">
        <v>19</v>
      </c>
    </row>
    <row r="85" spans="1:16" ht="15" customHeight="1" x14ac:dyDescent="0.35">
      <c r="A85" s="52" t="s">
        <v>209</v>
      </c>
      <c r="B85" s="52" t="s">
        <v>210</v>
      </c>
      <c r="C85" s="52" t="s">
        <v>36</v>
      </c>
      <c r="D85" s="53">
        <v>0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149968</v>
      </c>
      <c r="L85" s="53">
        <v>149968</v>
      </c>
      <c r="M85" s="53">
        <v>0</v>
      </c>
      <c r="N85" s="52" t="s">
        <v>23</v>
      </c>
      <c r="O85" s="52" t="s">
        <v>18</v>
      </c>
      <c r="P85" s="52" t="s">
        <v>18</v>
      </c>
    </row>
    <row r="86" spans="1:16" ht="15" customHeight="1" x14ac:dyDescent="0.35">
      <c r="A86" s="50" t="s">
        <v>211</v>
      </c>
      <c r="B86" s="50" t="s">
        <v>212</v>
      </c>
      <c r="C86" s="50" t="s">
        <v>38</v>
      </c>
      <c r="D86" s="51">
        <v>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149178</v>
      </c>
      <c r="K86" s="51">
        <v>0</v>
      </c>
      <c r="L86" s="51">
        <v>149178</v>
      </c>
      <c r="M86" s="51">
        <v>0</v>
      </c>
      <c r="N86" s="50" t="s">
        <v>28</v>
      </c>
      <c r="O86" s="50" t="s">
        <v>19</v>
      </c>
      <c r="P86" s="50" t="s">
        <v>19</v>
      </c>
    </row>
    <row r="87" spans="1:16" ht="15" customHeight="1" x14ac:dyDescent="0.35">
      <c r="A87" s="52" t="s">
        <v>213</v>
      </c>
      <c r="B87" s="52" t="s">
        <v>214</v>
      </c>
      <c r="C87" s="52" t="s">
        <v>36</v>
      </c>
      <c r="D87" s="53">
        <v>0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142182</v>
      </c>
      <c r="L87" s="53">
        <v>142182</v>
      </c>
      <c r="M87" s="53">
        <v>0</v>
      </c>
      <c r="N87" s="52" t="s">
        <v>23</v>
      </c>
      <c r="O87" s="52" t="s">
        <v>18</v>
      </c>
      <c r="P87" s="52" t="s">
        <v>18</v>
      </c>
    </row>
    <row r="88" spans="1:16" ht="15" customHeight="1" x14ac:dyDescent="0.35">
      <c r="A88" s="50" t="s">
        <v>215</v>
      </c>
      <c r="B88" s="50" t="s">
        <v>216</v>
      </c>
      <c r="C88" s="50" t="s">
        <v>36</v>
      </c>
      <c r="D88" s="51">
        <v>0</v>
      </c>
      <c r="E88" s="51">
        <v>0</v>
      </c>
      <c r="F88" s="51">
        <v>0</v>
      </c>
      <c r="G88" s="51">
        <v>133813</v>
      </c>
      <c r="H88" s="51">
        <v>0</v>
      </c>
      <c r="I88" s="51">
        <v>0</v>
      </c>
      <c r="J88" s="51">
        <v>139834</v>
      </c>
      <c r="K88" s="51">
        <v>0</v>
      </c>
      <c r="L88" s="51">
        <v>273647</v>
      </c>
      <c r="M88" s="51">
        <v>0</v>
      </c>
      <c r="N88" s="50" t="s">
        <v>23</v>
      </c>
      <c r="O88" s="50" t="s">
        <v>18</v>
      </c>
      <c r="P88" s="50" t="s">
        <v>18</v>
      </c>
    </row>
    <row r="89" spans="1:16" ht="15" customHeight="1" x14ac:dyDescent="0.35">
      <c r="A89" s="52" t="s">
        <v>217</v>
      </c>
      <c r="B89" s="52" t="s">
        <v>218</v>
      </c>
      <c r="C89" s="52" t="s">
        <v>36</v>
      </c>
      <c r="D89" s="53">
        <v>0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139428</v>
      </c>
      <c r="L89" s="53">
        <v>139428</v>
      </c>
      <c r="M89" s="53">
        <v>0</v>
      </c>
      <c r="N89" s="52" t="s">
        <v>23</v>
      </c>
      <c r="O89" s="52" t="s">
        <v>18</v>
      </c>
      <c r="P89" s="52" t="s">
        <v>18</v>
      </c>
    </row>
    <row r="90" spans="1:16" ht="15" customHeight="1" x14ac:dyDescent="0.35">
      <c r="A90" s="50" t="s">
        <v>219</v>
      </c>
      <c r="B90" s="50" t="s">
        <v>220</v>
      </c>
      <c r="C90" s="50" t="s">
        <v>36</v>
      </c>
      <c r="D90" s="51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132950</v>
      </c>
      <c r="L90" s="51">
        <v>132950</v>
      </c>
      <c r="M90" s="51">
        <v>0</v>
      </c>
      <c r="N90" s="50" t="s">
        <v>23</v>
      </c>
      <c r="O90" s="50" t="s">
        <v>18</v>
      </c>
      <c r="P90" s="50" t="s">
        <v>18</v>
      </c>
    </row>
    <row r="91" spans="1:16" ht="15" customHeight="1" x14ac:dyDescent="0.35">
      <c r="A91" s="52" t="s">
        <v>221</v>
      </c>
      <c r="B91" s="52" t="s">
        <v>222</v>
      </c>
      <c r="C91" s="52" t="s">
        <v>36</v>
      </c>
      <c r="D91" s="53">
        <v>0</v>
      </c>
      <c r="E91" s="53">
        <v>0</v>
      </c>
      <c r="F91" s="53">
        <v>0</v>
      </c>
      <c r="G91" s="53">
        <v>0</v>
      </c>
      <c r="H91" s="53">
        <v>0</v>
      </c>
      <c r="I91" s="53">
        <v>12654</v>
      </c>
      <c r="J91" s="53">
        <v>0</v>
      </c>
      <c r="K91" s="53">
        <v>0</v>
      </c>
      <c r="L91" s="53">
        <v>12654</v>
      </c>
      <c r="M91" s="53">
        <v>0</v>
      </c>
      <c r="N91" s="52" t="s">
        <v>23</v>
      </c>
      <c r="O91" s="52" t="s">
        <v>18</v>
      </c>
      <c r="P91" s="52" t="s">
        <v>18</v>
      </c>
    </row>
    <row r="92" spans="1:16" ht="15" customHeight="1" x14ac:dyDescent="0.35">
      <c r="A92" s="50" t="s">
        <v>223</v>
      </c>
      <c r="B92" s="50" t="s">
        <v>224</v>
      </c>
      <c r="C92" s="50" t="s">
        <v>36</v>
      </c>
      <c r="D92" s="51">
        <v>0</v>
      </c>
      <c r="E92" s="51">
        <v>127129</v>
      </c>
      <c r="F92" s="51">
        <v>0</v>
      </c>
      <c r="G92" s="51">
        <v>0</v>
      </c>
      <c r="H92" s="51">
        <v>0</v>
      </c>
      <c r="I92" s="51">
        <v>127128</v>
      </c>
      <c r="J92" s="51">
        <v>0</v>
      </c>
      <c r="K92" s="51">
        <v>0</v>
      </c>
      <c r="L92" s="51">
        <v>254257</v>
      </c>
      <c r="M92" s="51">
        <v>0</v>
      </c>
      <c r="N92" s="50" t="s">
        <v>23</v>
      </c>
      <c r="O92" s="50" t="s">
        <v>18</v>
      </c>
      <c r="P92" s="50" t="s">
        <v>16</v>
      </c>
    </row>
    <row r="93" spans="1:16" ht="15" customHeight="1" x14ac:dyDescent="0.35">
      <c r="A93" s="52" t="s">
        <v>225</v>
      </c>
      <c r="B93" s="52" t="s">
        <v>225</v>
      </c>
      <c r="C93" s="52" t="s">
        <v>40</v>
      </c>
      <c r="D93" s="53">
        <v>304335</v>
      </c>
      <c r="E93" s="53">
        <v>202960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507295</v>
      </c>
      <c r="M93" s="53">
        <v>0</v>
      </c>
      <c r="N93" s="52" t="s">
        <v>17</v>
      </c>
      <c r="O93" s="52" t="s">
        <v>19</v>
      </c>
      <c r="P93" s="50" t="s">
        <v>19</v>
      </c>
    </row>
    <row r="94" spans="1:16" ht="15" customHeight="1" x14ac:dyDescent="0.35">
      <c r="A94" s="50" t="s">
        <v>226</v>
      </c>
      <c r="B94" s="50" t="s">
        <v>226</v>
      </c>
      <c r="C94" s="50" t="s">
        <v>40</v>
      </c>
      <c r="D94" s="51">
        <v>490871</v>
      </c>
      <c r="E94" s="51">
        <v>530431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1021302</v>
      </c>
      <c r="M94" s="51">
        <v>0</v>
      </c>
      <c r="N94" s="50" t="s">
        <v>17</v>
      </c>
      <c r="O94" s="50" t="s">
        <v>19</v>
      </c>
      <c r="P94" s="50" t="s">
        <v>19</v>
      </c>
    </row>
    <row r="95" spans="1:16" ht="15" customHeight="1" x14ac:dyDescent="0.35">
      <c r="A95" s="52" t="s">
        <v>227</v>
      </c>
      <c r="B95" s="52" t="s">
        <v>228</v>
      </c>
      <c r="C95" s="52" t="s">
        <v>38</v>
      </c>
      <c r="D95" s="53">
        <v>0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125000</v>
      </c>
      <c r="L95" s="53">
        <v>125000</v>
      </c>
      <c r="M95" s="53">
        <v>0</v>
      </c>
      <c r="N95" s="52" t="s">
        <v>23</v>
      </c>
      <c r="O95" s="52" t="s">
        <v>18</v>
      </c>
      <c r="P95" s="52" t="s">
        <v>18</v>
      </c>
    </row>
    <row r="96" spans="1:16" ht="15" customHeight="1" x14ac:dyDescent="0.35">
      <c r="A96" s="50" t="s">
        <v>229</v>
      </c>
      <c r="B96" s="50" t="s">
        <v>230</v>
      </c>
      <c r="C96" s="50" t="s">
        <v>38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124128</v>
      </c>
      <c r="J96" s="51">
        <v>0</v>
      </c>
      <c r="K96" s="51">
        <v>0</v>
      </c>
      <c r="L96" s="51">
        <v>124128</v>
      </c>
      <c r="M96" s="51">
        <v>0</v>
      </c>
      <c r="N96" s="50" t="s">
        <v>30</v>
      </c>
      <c r="O96" s="50" t="s">
        <v>19</v>
      </c>
      <c r="P96" s="50" t="s">
        <v>19</v>
      </c>
    </row>
    <row r="97" spans="1:16" ht="15" customHeight="1" x14ac:dyDescent="0.35">
      <c r="A97" s="52" t="s">
        <v>231</v>
      </c>
      <c r="B97" s="52" t="s">
        <v>232</v>
      </c>
      <c r="C97" s="52" t="s">
        <v>36</v>
      </c>
      <c r="D97" s="53">
        <v>0</v>
      </c>
      <c r="E97" s="53">
        <v>0</v>
      </c>
      <c r="F97" s="53">
        <v>1632847</v>
      </c>
      <c r="G97" s="53">
        <v>0</v>
      </c>
      <c r="H97" s="53">
        <v>0</v>
      </c>
      <c r="I97" s="53">
        <v>0</v>
      </c>
      <c r="J97" s="53">
        <v>118151</v>
      </c>
      <c r="K97" s="53">
        <v>0</v>
      </c>
      <c r="L97" s="53">
        <v>1750998</v>
      </c>
      <c r="M97" s="53">
        <v>0</v>
      </c>
      <c r="N97" s="52" t="s">
        <v>26</v>
      </c>
      <c r="O97" s="52" t="s">
        <v>25</v>
      </c>
      <c r="P97" s="52" t="s">
        <v>18</v>
      </c>
    </row>
    <row r="98" spans="1:16" ht="15" customHeight="1" x14ac:dyDescent="0.35">
      <c r="A98" s="50" t="s">
        <v>233</v>
      </c>
      <c r="B98" s="50" t="s">
        <v>233</v>
      </c>
      <c r="C98" s="50" t="s">
        <v>36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59000</v>
      </c>
      <c r="J98" s="51">
        <v>0</v>
      </c>
      <c r="K98" s="51">
        <v>0</v>
      </c>
      <c r="L98" s="51">
        <v>59000</v>
      </c>
      <c r="M98" s="51">
        <v>0</v>
      </c>
      <c r="N98" s="50" t="s">
        <v>17</v>
      </c>
      <c r="O98" s="50" t="s">
        <v>19</v>
      </c>
      <c r="P98" s="50" t="s">
        <v>19</v>
      </c>
    </row>
    <row r="99" spans="1:16" ht="15" customHeight="1" x14ac:dyDescent="0.35">
      <c r="A99" s="52" t="s">
        <v>234</v>
      </c>
      <c r="B99" s="52" t="s">
        <v>235</v>
      </c>
      <c r="C99" s="52" t="s">
        <v>36</v>
      </c>
      <c r="D99" s="53">
        <v>0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110737</v>
      </c>
      <c r="L99" s="53">
        <v>110737</v>
      </c>
      <c r="M99" s="53">
        <v>0</v>
      </c>
      <c r="N99" s="52" t="s">
        <v>23</v>
      </c>
      <c r="O99" s="52" t="s">
        <v>18</v>
      </c>
      <c r="P99" s="52" t="s">
        <v>18</v>
      </c>
    </row>
    <row r="100" spans="1:16" ht="15" customHeight="1" x14ac:dyDescent="0.35">
      <c r="A100" s="50" t="s">
        <v>236</v>
      </c>
      <c r="B100" s="50" t="s">
        <v>237</v>
      </c>
      <c r="C100" s="50" t="s">
        <v>36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109999</v>
      </c>
      <c r="L100" s="51">
        <v>109999</v>
      </c>
      <c r="M100" s="51">
        <v>0</v>
      </c>
      <c r="N100" s="50" t="s">
        <v>29</v>
      </c>
      <c r="O100" s="50" t="s">
        <v>18</v>
      </c>
      <c r="P100" s="50" t="s">
        <v>18</v>
      </c>
    </row>
    <row r="101" spans="1:16" ht="15" customHeight="1" x14ac:dyDescent="0.35">
      <c r="A101" s="52" t="s">
        <v>238</v>
      </c>
      <c r="B101" s="52" t="s">
        <v>239</v>
      </c>
      <c r="C101" s="52" t="s">
        <v>36</v>
      </c>
      <c r="D101" s="53">
        <v>353925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105794</v>
      </c>
      <c r="K101" s="53">
        <v>0</v>
      </c>
      <c r="L101" s="53">
        <v>459719</v>
      </c>
      <c r="M101" s="53">
        <v>0</v>
      </c>
      <c r="N101" s="52" t="s">
        <v>23</v>
      </c>
      <c r="O101" s="52" t="s">
        <v>19</v>
      </c>
      <c r="P101" s="50" t="s">
        <v>19</v>
      </c>
    </row>
    <row r="102" spans="1:16" ht="15" customHeight="1" x14ac:dyDescent="0.35">
      <c r="A102" s="50" t="s">
        <v>240</v>
      </c>
      <c r="B102" s="50" t="s">
        <v>241</v>
      </c>
      <c r="C102" s="50" t="s">
        <v>36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104468</v>
      </c>
      <c r="K102" s="51">
        <v>703</v>
      </c>
      <c r="L102" s="51">
        <v>105171</v>
      </c>
      <c r="M102" s="51">
        <v>0</v>
      </c>
      <c r="N102" s="50" t="s">
        <v>23</v>
      </c>
      <c r="O102" s="50" t="s">
        <v>18</v>
      </c>
      <c r="P102" s="50" t="s">
        <v>18</v>
      </c>
    </row>
    <row r="103" spans="1:16" ht="15" customHeight="1" x14ac:dyDescent="0.35">
      <c r="A103" s="52" t="s">
        <v>242</v>
      </c>
      <c r="B103" s="52" t="s">
        <v>243</v>
      </c>
      <c r="C103" s="52" t="s">
        <v>36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5000</v>
      </c>
      <c r="L103" s="53">
        <v>5000</v>
      </c>
      <c r="M103" s="53">
        <v>0</v>
      </c>
      <c r="N103" s="52" t="s">
        <v>33</v>
      </c>
      <c r="O103" s="52" t="s">
        <v>19</v>
      </c>
      <c r="P103" s="50" t="s">
        <v>19</v>
      </c>
    </row>
    <row r="104" spans="1:16" ht="15" customHeight="1" x14ac:dyDescent="0.35">
      <c r="A104" s="50" t="s">
        <v>244</v>
      </c>
      <c r="B104" s="50" t="s">
        <v>244</v>
      </c>
      <c r="C104" s="50" t="s">
        <v>40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91390</v>
      </c>
      <c r="K104" s="51">
        <v>0</v>
      </c>
      <c r="L104" s="51">
        <v>91390</v>
      </c>
      <c r="M104" s="51">
        <v>0</v>
      </c>
      <c r="N104" s="50" t="s">
        <v>17</v>
      </c>
      <c r="O104" s="50" t="s">
        <v>19</v>
      </c>
      <c r="P104" s="50" t="s">
        <v>19</v>
      </c>
    </row>
    <row r="105" spans="1:16" ht="15" customHeight="1" x14ac:dyDescent="0.35">
      <c r="A105" s="52" t="s">
        <v>245</v>
      </c>
      <c r="B105" s="52" t="s">
        <v>246</v>
      </c>
      <c r="C105" s="52" t="s">
        <v>36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95286</v>
      </c>
      <c r="M105" s="53">
        <v>0</v>
      </c>
      <c r="N105" s="52" t="s">
        <v>23</v>
      </c>
      <c r="O105" s="52" t="s">
        <v>18</v>
      </c>
      <c r="P105" s="52" t="s">
        <v>18</v>
      </c>
    </row>
    <row r="106" spans="1:16" ht="15" customHeight="1" x14ac:dyDescent="0.35">
      <c r="A106" s="50" t="s">
        <v>247</v>
      </c>
      <c r="B106" s="50" t="s">
        <v>248</v>
      </c>
      <c r="C106" s="50" t="s">
        <v>38</v>
      </c>
      <c r="D106" s="51">
        <v>0</v>
      </c>
      <c r="E106" s="51">
        <v>80990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80990</v>
      </c>
      <c r="M106" s="51">
        <v>0</v>
      </c>
      <c r="N106" s="50" t="s">
        <v>29</v>
      </c>
      <c r="O106" s="50" t="s">
        <v>18</v>
      </c>
      <c r="P106" s="50" t="s">
        <v>16</v>
      </c>
    </row>
    <row r="107" spans="1:16" ht="15" customHeight="1" x14ac:dyDescent="0.35">
      <c r="A107" s="52" t="s">
        <v>249</v>
      </c>
      <c r="B107" s="52" t="s">
        <v>250</v>
      </c>
      <c r="C107" s="52" t="s">
        <v>38</v>
      </c>
      <c r="D107" s="53">
        <v>0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94107</v>
      </c>
      <c r="L107" s="53">
        <v>94107</v>
      </c>
      <c r="M107" s="53">
        <v>0</v>
      </c>
      <c r="N107" s="52" t="s">
        <v>23</v>
      </c>
      <c r="O107" s="52" t="s">
        <v>18</v>
      </c>
      <c r="P107" s="52" t="s">
        <v>18</v>
      </c>
    </row>
    <row r="108" spans="1:16" ht="15" customHeight="1" x14ac:dyDescent="0.35">
      <c r="A108" s="50" t="s">
        <v>251</v>
      </c>
      <c r="B108" s="50" t="s">
        <v>251</v>
      </c>
      <c r="C108" s="50" t="s">
        <v>38</v>
      </c>
      <c r="D108" s="51">
        <v>0</v>
      </c>
      <c r="E108" s="51">
        <v>55878</v>
      </c>
      <c r="F108" s="51">
        <v>44422</v>
      </c>
      <c r="G108" s="51">
        <v>0</v>
      </c>
      <c r="H108" s="51">
        <v>35264</v>
      </c>
      <c r="I108" s="51">
        <v>0</v>
      </c>
      <c r="J108" s="51">
        <v>0</v>
      </c>
      <c r="K108" s="51">
        <v>0</v>
      </c>
      <c r="L108" s="51">
        <v>135564</v>
      </c>
      <c r="M108" s="51">
        <v>0</v>
      </c>
      <c r="N108" s="50" t="s">
        <v>29</v>
      </c>
      <c r="O108" s="50" t="s">
        <v>18</v>
      </c>
      <c r="P108" s="50" t="s">
        <v>16</v>
      </c>
    </row>
    <row r="109" spans="1:16" ht="15" customHeight="1" x14ac:dyDescent="0.35">
      <c r="A109" s="52" t="s">
        <v>252</v>
      </c>
      <c r="B109" s="52" t="s">
        <v>253</v>
      </c>
      <c r="C109" s="52" t="s">
        <v>36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11624</v>
      </c>
      <c r="J109" s="53">
        <v>0</v>
      </c>
      <c r="K109" s="53">
        <v>0</v>
      </c>
      <c r="L109" s="53">
        <v>11624</v>
      </c>
      <c r="M109" s="53">
        <v>0</v>
      </c>
      <c r="N109" s="52" t="s">
        <v>23</v>
      </c>
      <c r="O109" s="52" t="s">
        <v>18</v>
      </c>
      <c r="P109" s="52" t="s">
        <v>18</v>
      </c>
    </row>
    <row r="110" spans="1:16" ht="15" customHeight="1" x14ac:dyDescent="0.35">
      <c r="A110" s="50" t="s">
        <v>254</v>
      </c>
      <c r="B110" s="50" t="s">
        <v>254</v>
      </c>
      <c r="C110" s="50" t="s">
        <v>38</v>
      </c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90933</v>
      </c>
      <c r="M110" s="51">
        <v>0</v>
      </c>
      <c r="N110" s="50" t="s">
        <v>32</v>
      </c>
      <c r="O110" s="50" t="s">
        <v>19</v>
      </c>
      <c r="P110" s="50" t="s">
        <v>19</v>
      </c>
    </row>
    <row r="111" spans="1:16" ht="15" customHeight="1" x14ac:dyDescent="0.35">
      <c r="A111" s="52" t="s">
        <v>255</v>
      </c>
      <c r="B111" s="52" t="s">
        <v>256</v>
      </c>
      <c r="C111" s="52" t="s">
        <v>36</v>
      </c>
      <c r="D111" s="53">
        <v>0</v>
      </c>
      <c r="E111" s="53">
        <v>0</v>
      </c>
      <c r="F111" s="53">
        <v>0</v>
      </c>
      <c r="G111" s="53">
        <v>89629</v>
      </c>
      <c r="H111" s="53">
        <v>0</v>
      </c>
      <c r="I111" s="53">
        <v>89629</v>
      </c>
      <c r="J111" s="53">
        <v>0</v>
      </c>
      <c r="K111" s="53">
        <v>0</v>
      </c>
      <c r="L111" s="53">
        <v>179258</v>
      </c>
      <c r="M111" s="53">
        <v>169258</v>
      </c>
      <c r="N111" s="52" t="s">
        <v>23</v>
      </c>
      <c r="O111" s="52" t="s">
        <v>18</v>
      </c>
      <c r="P111" s="52" t="s">
        <v>18</v>
      </c>
    </row>
    <row r="112" spans="1:16" ht="15" customHeight="1" x14ac:dyDescent="0.35">
      <c r="A112" s="50" t="s">
        <v>257</v>
      </c>
      <c r="B112" s="50" t="s">
        <v>257</v>
      </c>
      <c r="C112" s="50" t="s">
        <v>40</v>
      </c>
      <c r="D112" s="51">
        <v>86730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86730</v>
      </c>
      <c r="M112" s="51">
        <v>0</v>
      </c>
      <c r="N112" s="50" t="s">
        <v>17</v>
      </c>
      <c r="O112" s="50" t="s">
        <v>19</v>
      </c>
      <c r="P112" s="50" t="s">
        <v>19</v>
      </c>
    </row>
    <row r="113" spans="1:16" ht="15" customHeight="1" x14ac:dyDescent="0.35">
      <c r="A113" s="52" t="s">
        <v>258</v>
      </c>
      <c r="B113" s="52" t="s">
        <v>259</v>
      </c>
      <c r="C113" s="52" t="s">
        <v>36</v>
      </c>
      <c r="D113" s="53">
        <v>0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71825</v>
      </c>
      <c r="L113" s="53">
        <v>71825</v>
      </c>
      <c r="M113" s="53">
        <v>0</v>
      </c>
      <c r="N113" s="52" t="s">
        <v>23</v>
      </c>
      <c r="O113" s="52" t="s">
        <v>18</v>
      </c>
      <c r="P113" s="52" t="s">
        <v>18</v>
      </c>
    </row>
    <row r="114" spans="1:16" ht="15" customHeight="1" x14ac:dyDescent="0.35">
      <c r="A114" s="50" t="s">
        <v>260</v>
      </c>
      <c r="B114" s="50" t="s">
        <v>261</v>
      </c>
      <c r="C114" s="50" t="s">
        <v>36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71583</v>
      </c>
      <c r="M114" s="51">
        <v>0</v>
      </c>
      <c r="N114" s="50" t="s">
        <v>23</v>
      </c>
      <c r="O114" s="50" t="s">
        <v>18</v>
      </c>
      <c r="P114" s="50" t="s">
        <v>18</v>
      </c>
    </row>
    <row r="115" spans="1:16" ht="15" customHeight="1" x14ac:dyDescent="0.35">
      <c r="A115" s="52" t="s">
        <v>262</v>
      </c>
      <c r="B115" s="52" t="s">
        <v>263</v>
      </c>
      <c r="C115" s="52" t="s">
        <v>36</v>
      </c>
      <c r="D115" s="53">
        <v>0</v>
      </c>
      <c r="E115" s="53">
        <v>0</v>
      </c>
      <c r="F115" s="53">
        <v>0</v>
      </c>
      <c r="G115" s="53">
        <v>0</v>
      </c>
      <c r="H115" s="53">
        <v>0</v>
      </c>
      <c r="I115" s="53">
        <v>14432</v>
      </c>
      <c r="J115" s="53">
        <v>0</v>
      </c>
      <c r="K115" s="53">
        <v>0</v>
      </c>
      <c r="L115" s="53">
        <v>14432</v>
      </c>
      <c r="M115" s="53">
        <v>0</v>
      </c>
      <c r="N115" s="52" t="s">
        <v>23</v>
      </c>
      <c r="O115" s="52" t="s">
        <v>18</v>
      </c>
      <c r="P115" s="52" t="s">
        <v>18</v>
      </c>
    </row>
    <row r="116" spans="1:16" ht="15" customHeight="1" x14ac:dyDescent="0.35">
      <c r="A116" s="50" t="s">
        <v>264</v>
      </c>
      <c r="B116" s="50" t="s">
        <v>265</v>
      </c>
      <c r="C116" s="50" t="s">
        <v>38</v>
      </c>
      <c r="D116" s="51">
        <v>0</v>
      </c>
      <c r="E116" s="51">
        <v>67948</v>
      </c>
      <c r="F116" s="51">
        <v>0</v>
      </c>
      <c r="G116" s="51">
        <v>0</v>
      </c>
      <c r="H116" s="51">
        <v>0</v>
      </c>
      <c r="I116" s="51">
        <v>69305</v>
      </c>
      <c r="J116" s="51">
        <v>0</v>
      </c>
      <c r="K116" s="51">
        <v>0</v>
      </c>
      <c r="L116" s="51">
        <v>137253</v>
      </c>
      <c r="M116" s="51">
        <v>0</v>
      </c>
      <c r="N116" s="50" t="s">
        <v>23</v>
      </c>
      <c r="O116" s="50" t="s">
        <v>18</v>
      </c>
      <c r="P116" s="50" t="s">
        <v>16</v>
      </c>
    </row>
    <row r="117" spans="1:16" ht="15" customHeight="1" x14ac:dyDescent="0.35">
      <c r="A117" s="52" t="s">
        <v>266</v>
      </c>
      <c r="B117" s="52" t="s">
        <v>267</v>
      </c>
      <c r="C117" s="52" t="s">
        <v>36</v>
      </c>
      <c r="D117" s="53">
        <v>0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67058</v>
      </c>
      <c r="K117" s="53">
        <v>0</v>
      </c>
      <c r="L117" s="53">
        <v>67058</v>
      </c>
      <c r="M117" s="53">
        <v>0</v>
      </c>
      <c r="N117" s="52" t="s">
        <v>23</v>
      </c>
      <c r="O117" s="52" t="s">
        <v>18</v>
      </c>
      <c r="P117" s="52" t="s">
        <v>18</v>
      </c>
    </row>
    <row r="118" spans="1:16" ht="15" customHeight="1" x14ac:dyDescent="0.35">
      <c r="A118" s="50" t="s">
        <v>268</v>
      </c>
      <c r="B118" s="50" t="s">
        <v>268</v>
      </c>
      <c r="C118" s="50" t="s">
        <v>40</v>
      </c>
      <c r="D118" s="51">
        <v>196470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196470</v>
      </c>
      <c r="M118" s="51">
        <v>0</v>
      </c>
      <c r="N118" s="50" t="s">
        <v>17</v>
      </c>
      <c r="O118" s="50" t="s">
        <v>19</v>
      </c>
      <c r="P118" s="50" t="s">
        <v>19</v>
      </c>
    </row>
    <row r="119" spans="1:16" ht="15" customHeight="1" x14ac:dyDescent="0.35">
      <c r="A119" s="52" t="s">
        <v>269</v>
      </c>
      <c r="B119" s="52" t="s">
        <v>270</v>
      </c>
      <c r="C119" s="52" t="s">
        <v>36</v>
      </c>
      <c r="D119" s="53">
        <v>0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1812</v>
      </c>
      <c r="K119" s="53">
        <v>0</v>
      </c>
      <c r="L119" s="53">
        <v>1812</v>
      </c>
      <c r="M119" s="53">
        <v>0</v>
      </c>
      <c r="N119" s="52" t="s">
        <v>23</v>
      </c>
      <c r="O119" s="52" t="s">
        <v>18</v>
      </c>
      <c r="P119" s="52" t="s">
        <v>18</v>
      </c>
    </row>
    <row r="120" spans="1:16" ht="15" customHeight="1" x14ac:dyDescent="0.35">
      <c r="A120" s="50" t="s">
        <v>271</v>
      </c>
      <c r="B120" s="50" t="s">
        <v>272</v>
      </c>
      <c r="C120" s="50" t="s">
        <v>36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13500</v>
      </c>
      <c r="K120" s="51">
        <v>0</v>
      </c>
      <c r="L120" s="51">
        <v>60750</v>
      </c>
      <c r="M120" s="51">
        <v>0</v>
      </c>
      <c r="N120" s="50" t="s">
        <v>23</v>
      </c>
      <c r="O120" s="50" t="s">
        <v>18</v>
      </c>
      <c r="P120" s="50" t="s">
        <v>18</v>
      </c>
    </row>
    <row r="121" spans="1:16" ht="15" customHeight="1" x14ac:dyDescent="0.35">
      <c r="A121" s="52" t="s">
        <v>273</v>
      </c>
      <c r="B121" s="52" t="s">
        <v>273</v>
      </c>
      <c r="C121" s="52" t="s">
        <v>40</v>
      </c>
      <c r="D121" s="53">
        <v>0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58352</v>
      </c>
      <c r="L121" s="53">
        <v>58352</v>
      </c>
      <c r="M121" s="53">
        <v>0</v>
      </c>
      <c r="N121" s="52" t="s">
        <v>17</v>
      </c>
      <c r="O121" s="52" t="s">
        <v>19</v>
      </c>
      <c r="P121" s="50" t="s">
        <v>19</v>
      </c>
    </row>
    <row r="122" spans="1:16" ht="15" customHeight="1" x14ac:dyDescent="0.35">
      <c r="A122" s="50" t="s">
        <v>274</v>
      </c>
      <c r="B122" s="50" t="s">
        <v>275</v>
      </c>
      <c r="C122" s="50" t="s">
        <v>38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56081</v>
      </c>
      <c r="L122" s="51">
        <v>56081</v>
      </c>
      <c r="M122" s="51">
        <v>0</v>
      </c>
      <c r="N122" s="50" t="s">
        <v>33</v>
      </c>
      <c r="O122" s="50" t="s">
        <v>19</v>
      </c>
      <c r="P122" s="50" t="s">
        <v>19</v>
      </c>
    </row>
    <row r="123" spans="1:16" ht="15" customHeight="1" x14ac:dyDescent="0.35">
      <c r="A123" s="52" t="s">
        <v>276</v>
      </c>
      <c r="B123" s="52" t="s">
        <v>276</v>
      </c>
      <c r="C123" s="52" t="s">
        <v>36</v>
      </c>
      <c r="D123" s="53">
        <v>0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56000</v>
      </c>
      <c r="L123" s="53">
        <v>56000</v>
      </c>
      <c r="M123" s="53">
        <v>0</v>
      </c>
      <c r="N123" s="52" t="s">
        <v>31</v>
      </c>
      <c r="O123" s="52" t="s">
        <v>19</v>
      </c>
      <c r="P123" s="50" t="s">
        <v>19</v>
      </c>
    </row>
    <row r="124" spans="1:16" ht="15" customHeight="1" x14ac:dyDescent="0.35">
      <c r="A124" s="50" t="s">
        <v>277</v>
      </c>
      <c r="B124" s="50" t="s">
        <v>278</v>
      </c>
      <c r="C124" s="50" t="s">
        <v>36</v>
      </c>
      <c r="D124" s="51">
        <v>0</v>
      </c>
      <c r="E124" s="51">
        <v>0</v>
      </c>
      <c r="F124" s="51">
        <v>0</v>
      </c>
      <c r="G124" s="51">
        <v>0</v>
      </c>
      <c r="H124" s="51">
        <v>329456</v>
      </c>
      <c r="I124" s="51">
        <v>0</v>
      </c>
      <c r="J124" s="51">
        <v>0</v>
      </c>
      <c r="K124" s="51">
        <v>0</v>
      </c>
      <c r="L124" s="51">
        <v>329456</v>
      </c>
      <c r="M124" s="51">
        <v>0</v>
      </c>
      <c r="N124" s="50" t="s">
        <v>23</v>
      </c>
      <c r="O124" s="50" t="s">
        <v>27</v>
      </c>
      <c r="P124" s="50" t="s">
        <v>18</v>
      </c>
    </row>
    <row r="125" spans="1:16" ht="15" customHeight="1" x14ac:dyDescent="0.35">
      <c r="A125" s="52" t="s">
        <v>279</v>
      </c>
      <c r="B125" s="52" t="s">
        <v>280</v>
      </c>
      <c r="C125" s="52" t="s">
        <v>36</v>
      </c>
      <c r="D125" s="53">
        <v>50000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50000</v>
      </c>
      <c r="M125" s="53">
        <v>0</v>
      </c>
      <c r="N125" s="52" t="s">
        <v>23</v>
      </c>
      <c r="O125" s="52" t="s">
        <v>18</v>
      </c>
      <c r="P125" s="52" t="s">
        <v>16</v>
      </c>
    </row>
    <row r="126" spans="1:16" ht="15" customHeight="1" x14ac:dyDescent="0.35">
      <c r="A126" s="50" t="s">
        <v>281</v>
      </c>
      <c r="B126" s="50" t="s">
        <v>282</v>
      </c>
      <c r="C126" s="50" t="s">
        <v>36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45874</v>
      </c>
      <c r="M126" s="51">
        <v>0</v>
      </c>
      <c r="N126" s="50" t="s">
        <v>23</v>
      </c>
      <c r="O126" s="50" t="s">
        <v>18</v>
      </c>
      <c r="P126" s="50" t="s">
        <v>18</v>
      </c>
    </row>
    <row r="127" spans="1:16" ht="15" customHeight="1" x14ac:dyDescent="0.35">
      <c r="A127" s="52" t="s">
        <v>283</v>
      </c>
      <c r="B127" s="52" t="s">
        <v>284</v>
      </c>
      <c r="C127" s="52" t="s">
        <v>38</v>
      </c>
      <c r="D127" s="53">
        <v>0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38702</v>
      </c>
      <c r="M127" s="53">
        <v>0</v>
      </c>
      <c r="N127" s="52" t="s">
        <v>29</v>
      </c>
      <c r="O127" s="52" t="s">
        <v>19</v>
      </c>
      <c r="P127" s="50" t="s">
        <v>19</v>
      </c>
    </row>
    <row r="128" spans="1:16" ht="15" customHeight="1" x14ac:dyDescent="0.35">
      <c r="A128" s="50" t="s">
        <v>285</v>
      </c>
      <c r="B128" s="50" t="s">
        <v>286</v>
      </c>
      <c r="C128" s="50" t="s">
        <v>36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38485</v>
      </c>
      <c r="M128" s="51">
        <v>0</v>
      </c>
      <c r="N128" s="50" t="s">
        <v>23</v>
      </c>
      <c r="O128" s="50" t="s">
        <v>18</v>
      </c>
      <c r="P128" s="50" t="s">
        <v>18</v>
      </c>
    </row>
    <row r="129" spans="1:16" ht="15" customHeight="1" x14ac:dyDescent="0.35">
      <c r="A129" s="52" t="s">
        <v>287</v>
      </c>
      <c r="B129" s="52" t="s">
        <v>288</v>
      </c>
      <c r="C129" s="52" t="s">
        <v>36</v>
      </c>
      <c r="D129" s="53">
        <v>0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9997</v>
      </c>
      <c r="L129" s="53">
        <v>9997</v>
      </c>
      <c r="M129" s="53">
        <v>0</v>
      </c>
      <c r="N129" s="52" t="s">
        <v>33</v>
      </c>
      <c r="O129" s="52" t="s">
        <v>19</v>
      </c>
      <c r="P129" s="50" t="s">
        <v>19</v>
      </c>
    </row>
    <row r="130" spans="1:16" ht="15" customHeight="1" x14ac:dyDescent="0.35">
      <c r="A130" s="50" t="s">
        <v>289</v>
      </c>
      <c r="B130" s="50" t="s">
        <v>289</v>
      </c>
      <c r="C130" s="50" t="s">
        <v>38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36558</v>
      </c>
      <c r="L130" s="51">
        <v>36558</v>
      </c>
      <c r="M130" s="51">
        <v>0</v>
      </c>
      <c r="N130" s="50" t="s">
        <v>31</v>
      </c>
      <c r="O130" s="50" t="s">
        <v>19</v>
      </c>
      <c r="P130" s="50" t="s">
        <v>19</v>
      </c>
    </row>
    <row r="131" spans="1:16" ht="15" customHeight="1" x14ac:dyDescent="0.35">
      <c r="A131" s="52" t="s">
        <v>290</v>
      </c>
      <c r="B131" s="52" t="s">
        <v>291</v>
      </c>
      <c r="C131" s="52" t="s">
        <v>36</v>
      </c>
      <c r="D131" s="53">
        <v>0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36525</v>
      </c>
      <c r="L131" s="53">
        <v>36525</v>
      </c>
      <c r="M131" s="53">
        <v>0</v>
      </c>
      <c r="N131" s="52" t="s">
        <v>23</v>
      </c>
      <c r="O131" s="52" t="s">
        <v>18</v>
      </c>
      <c r="P131" s="52" t="s">
        <v>18</v>
      </c>
    </row>
    <row r="132" spans="1:16" ht="15" customHeight="1" x14ac:dyDescent="0.35">
      <c r="A132" s="50" t="s">
        <v>292</v>
      </c>
      <c r="B132" s="50" t="s">
        <v>293</v>
      </c>
      <c r="C132" s="50" t="s">
        <v>36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33971</v>
      </c>
      <c r="M132" s="51">
        <v>0</v>
      </c>
      <c r="N132" s="50" t="s">
        <v>23</v>
      </c>
      <c r="O132" s="50" t="s">
        <v>18</v>
      </c>
      <c r="P132" s="50" t="s">
        <v>18</v>
      </c>
    </row>
    <row r="133" spans="1:16" ht="15" customHeight="1" x14ac:dyDescent="0.35">
      <c r="A133" s="52" t="s">
        <v>294</v>
      </c>
      <c r="B133" s="52" t="s">
        <v>295</v>
      </c>
      <c r="C133" s="52" t="s">
        <v>36</v>
      </c>
      <c r="D133" s="53">
        <v>0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33736</v>
      </c>
      <c r="K133" s="53">
        <v>0</v>
      </c>
      <c r="L133" s="53">
        <v>33736</v>
      </c>
      <c r="M133" s="53">
        <v>0</v>
      </c>
      <c r="N133" s="52" t="s">
        <v>23</v>
      </c>
      <c r="O133" s="52" t="s">
        <v>18</v>
      </c>
      <c r="P133" s="52" t="s">
        <v>18</v>
      </c>
    </row>
    <row r="134" spans="1:16" ht="15" customHeight="1" x14ac:dyDescent="0.35">
      <c r="A134" s="50" t="s">
        <v>296</v>
      </c>
      <c r="B134" s="50" t="s">
        <v>296</v>
      </c>
      <c r="C134" s="50" t="s">
        <v>40</v>
      </c>
      <c r="D134" s="51">
        <v>244585</v>
      </c>
      <c r="E134" s="51">
        <v>906432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1151017</v>
      </c>
      <c r="M134" s="51">
        <v>0</v>
      </c>
      <c r="N134" s="50" t="s">
        <v>17</v>
      </c>
      <c r="O134" s="50" t="s">
        <v>19</v>
      </c>
      <c r="P134" s="50" t="s">
        <v>19</v>
      </c>
    </row>
    <row r="135" spans="1:16" ht="15" customHeight="1" x14ac:dyDescent="0.35">
      <c r="A135" s="52" t="s">
        <v>297</v>
      </c>
      <c r="B135" s="52" t="s">
        <v>298</v>
      </c>
      <c r="C135" s="52" t="s">
        <v>36</v>
      </c>
      <c r="D135" s="53">
        <v>0</v>
      </c>
      <c r="E135" s="53">
        <v>0</v>
      </c>
      <c r="F135" s="53">
        <v>0</v>
      </c>
      <c r="G135" s="53">
        <v>0</v>
      </c>
      <c r="H135" s="53">
        <v>85199</v>
      </c>
      <c r="I135" s="53">
        <v>0</v>
      </c>
      <c r="J135" s="53">
        <v>0</v>
      </c>
      <c r="K135" s="53">
        <v>0</v>
      </c>
      <c r="L135" s="53">
        <v>85199</v>
      </c>
      <c r="M135" s="53">
        <v>0</v>
      </c>
      <c r="N135" s="52" t="s">
        <v>23</v>
      </c>
      <c r="O135" s="52" t="s">
        <v>18</v>
      </c>
      <c r="P135" s="52" t="s">
        <v>18</v>
      </c>
    </row>
    <row r="136" spans="1:16" ht="15" customHeight="1" x14ac:dyDescent="0.35">
      <c r="A136" s="50" t="s">
        <v>299</v>
      </c>
      <c r="B136" s="50" t="s">
        <v>299</v>
      </c>
      <c r="C136" s="50" t="s">
        <v>38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29752</v>
      </c>
      <c r="M136" s="51">
        <v>0</v>
      </c>
      <c r="N136" s="50" t="s">
        <v>32</v>
      </c>
      <c r="O136" s="50" t="s">
        <v>19</v>
      </c>
      <c r="P136" s="50" t="s">
        <v>19</v>
      </c>
    </row>
    <row r="137" spans="1:16" ht="15" customHeight="1" x14ac:dyDescent="0.35">
      <c r="A137" s="52" t="s">
        <v>300</v>
      </c>
      <c r="B137" s="52" t="s">
        <v>301</v>
      </c>
      <c r="C137" s="52" t="s">
        <v>36</v>
      </c>
      <c r="D137" s="53">
        <v>0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28790</v>
      </c>
      <c r="L137" s="53">
        <v>28790</v>
      </c>
      <c r="M137" s="53">
        <v>0</v>
      </c>
      <c r="N137" s="52" t="s">
        <v>23</v>
      </c>
      <c r="O137" s="52" t="s">
        <v>18</v>
      </c>
      <c r="P137" s="52" t="s">
        <v>18</v>
      </c>
    </row>
    <row r="138" spans="1:16" ht="15" customHeight="1" x14ac:dyDescent="0.35">
      <c r="A138" s="50" t="s">
        <v>302</v>
      </c>
      <c r="B138" s="50" t="s">
        <v>302</v>
      </c>
      <c r="C138" s="50" t="s">
        <v>40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27540</v>
      </c>
      <c r="L138" s="51">
        <v>27540</v>
      </c>
      <c r="M138" s="51">
        <v>0</v>
      </c>
      <c r="N138" s="50" t="s">
        <v>17</v>
      </c>
      <c r="O138" s="50" t="s">
        <v>19</v>
      </c>
      <c r="P138" s="50" t="s">
        <v>19</v>
      </c>
    </row>
    <row r="139" spans="1:16" ht="15" customHeight="1" x14ac:dyDescent="0.35">
      <c r="A139" s="52" t="s">
        <v>303</v>
      </c>
      <c r="B139" s="52" t="s">
        <v>304</v>
      </c>
      <c r="C139" s="52" t="s">
        <v>36</v>
      </c>
      <c r="D139" s="53">
        <v>0</v>
      </c>
      <c r="E139" s="53">
        <v>0</v>
      </c>
      <c r="F139" s="53">
        <v>0</v>
      </c>
      <c r="G139" s="53">
        <v>0</v>
      </c>
      <c r="H139" s="53">
        <v>0</v>
      </c>
      <c r="I139" s="53">
        <v>12119</v>
      </c>
      <c r="J139" s="53">
        <v>0</v>
      </c>
      <c r="K139" s="53">
        <v>0</v>
      </c>
      <c r="L139" s="53">
        <v>12119</v>
      </c>
      <c r="M139" s="53">
        <v>0</v>
      </c>
      <c r="N139" s="52" t="s">
        <v>23</v>
      </c>
      <c r="O139" s="52" t="s">
        <v>18</v>
      </c>
      <c r="P139" s="52" t="s">
        <v>18</v>
      </c>
    </row>
    <row r="140" spans="1:16" ht="15" customHeight="1" x14ac:dyDescent="0.35">
      <c r="A140" s="50" t="s">
        <v>305</v>
      </c>
      <c r="B140" s="50" t="s">
        <v>306</v>
      </c>
      <c r="C140" s="50" t="s">
        <v>36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26110</v>
      </c>
      <c r="L140" s="51">
        <v>26110</v>
      </c>
      <c r="M140" s="51">
        <v>0</v>
      </c>
      <c r="N140" s="50" t="s">
        <v>33</v>
      </c>
      <c r="O140" s="50" t="s">
        <v>19</v>
      </c>
      <c r="P140" s="50" t="s">
        <v>19</v>
      </c>
    </row>
    <row r="141" spans="1:16" ht="15" customHeight="1" x14ac:dyDescent="0.35">
      <c r="A141" s="52" t="s">
        <v>307</v>
      </c>
      <c r="B141" s="52" t="s">
        <v>307</v>
      </c>
      <c r="C141" s="52" t="s">
        <v>40</v>
      </c>
      <c r="D141" s="53">
        <v>0</v>
      </c>
      <c r="E141" s="53">
        <v>24470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24470</v>
      </c>
      <c r="M141" s="53">
        <v>0</v>
      </c>
      <c r="N141" s="52" t="s">
        <v>17</v>
      </c>
      <c r="O141" s="52" t="s">
        <v>19</v>
      </c>
      <c r="P141" s="50" t="s">
        <v>19</v>
      </c>
    </row>
    <row r="142" spans="1:16" ht="15" customHeight="1" x14ac:dyDescent="0.35">
      <c r="A142" s="50" t="s">
        <v>308</v>
      </c>
      <c r="B142" s="50" t="s">
        <v>309</v>
      </c>
      <c r="C142" s="50" t="s">
        <v>36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25015</v>
      </c>
      <c r="L142" s="51">
        <v>25015</v>
      </c>
      <c r="M142" s="51">
        <v>0</v>
      </c>
      <c r="N142" s="50" t="s">
        <v>23</v>
      </c>
      <c r="O142" s="50" t="s">
        <v>18</v>
      </c>
      <c r="P142" s="50" t="s">
        <v>18</v>
      </c>
    </row>
    <row r="143" spans="1:16" ht="15" customHeight="1" x14ac:dyDescent="0.35">
      <c r="A143" s="52" t="s">
        <v>310</v>
      </c>
      <c r="B143" s="52" t="s">
        <v>310</v>
      </c>
      <c r="C143" s="52" t="s">
        <v>40</v>
      </c>
      <c r="D143" s="53">
        <v>0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24950</v>
      </c>
      <c r="L143" s="53">
        <v>24950</v>
      </c>
      <c r="M143" s="53">
        <v>0</v>
      </c>
      <c r="N143" s="52" t="s">
        <v>17</v>
      </c>
      <c r="O143" s="52" t="s">
        <v>19</v>
      </c>
      <c r="P143" s="50" t="s">
        <v>19</v>
      </c>
    </row>
    <row r="144" spans="1:16" ht="15" customHeight="1" x14ac:dyDescent="0.35">
      <c r="A144" s="50" t="s">
        <v>311</v>
      </c>
      <c r="B144" s="50" t="s">
        <v>312</v>
      </c>
      <c r="C144" s="50" t="s">
        <v>36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23900</v>
      </c>
      <c r="K144" s="51">
        <v>0</v>
      </c>
      <c r="L144" s="51">
        <v>23900</v>
      </c>
      <c r="M144" s="51">
        <v>0</v>
      </c>
      <c r="N144" s="50" t="s">
        <v>23</v>
      </c>
      <c r="O144" s="50" t="s">
        <v>18</v>
      </c>
      <c r="P144" s="50" t="s">
        <v>18</v>
      </c>
    </row>
    <row r="145" spans="1:16" ht="15" customHeight="1" x14ac:dyDescent="0.35">
      <c r="A145" s="52" t="s">
        <v>313</v>
      </c>
      <c r="B145" s="52" t="s">
        <v>314</v>
      </c>
      <c r="C145" s="52" t="s">
        <v>36</v>
      </c>
      <c r="D145" s="53">
        <v>0</v>
      </c>
      <c r="E145" s="53">
        <v>0</v>
      </c>
      <c r="F145" s="53">
        <v>0</v>
      </c>
      <c r="G145" s="53">
        <v>0</v>
      </c>
      <c r="H145" s="53">
        <v>2940300</v>
      </c>
      <c r="I145" s="53">
        <v>0</v>
      </c>
      <c r="J145" s="53">
        <v>0</v>
      </c>
      <c r="K145" s="53">
        <v>0</v>
      </c>
      <c r="L145" s="53">
        <v>2940300</v>
      </c>
      <c r="M145" s="53">
        <v>0</v>
      </c>
      <c r="N145" s="52" t="s">
        <v>23</v>
      </c>
      <c r="O145" s="52" t="s">
        <v>18</v>
      </c>
      <c r="P145" s="52" t="s">
        <v>18</v>
      </c>
    </row>
    <row r="146" spans="1:16" ht="15" customHeight="1" x14ac:dyDescent="0.35">
      <c r="A146" s="50" t="s">
        <v>315</v>
      </c>
      <c r="B146" s="50" t="s">
        <v>315</v>
      </c>
      <c r="C146" s="50" t="s">
        <v>38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22273</v>
      </c>
      <c r="L146" s="51">
        <v>22273</v>
      </c>
      <c r="M146" s="51">
        <v>0</v>
      </c>
      <c r="N146" s="50" t="s">
        <v>31</v>
      </c>
      <c r="O146" s="50" t="s">
        <v>19</v>
      </c>
      <c r="P146" s="50" t="s">
        <v>19</v>
      </c>
    </row>
    <row r="147" spans="1:16" ht="15" customHeight="1" x14ac:dyDescent="0.35">
      <c r="A147" s="52" t="s">
        <v>316</v>
      </c>
      <c r="B147" s="52" t="s">
        <v>316</v>
      </c>
      <c r="C147" s="52" t="s">
        <v>38</v>
      </c>
      <c r="D147" s="53">
        <v>0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21520</v>
      </c>
      <c r="L147" s="53">
        <v>21520</v>
      </c>
      <c r="M147" s="53">
        <v>0</v>
      </c>
      <c r="N147" s="52" t="s">
        <v>31</v>
      </c>
      <c r="O147" s="52" t="s">
        <v>19</v>
      </c>
      <c r="P147" s="50" t="s">
        <v>19</v>
      </c>
    </row>
    <row r="148" spans="1:16" ht="15" customHeight="1" x14ac:dyDescent="0.35">
      <c r="A148" s="50" t="s">
        <v>317</v>
      </c>
      <c r="B148" s="50" t="s">
        <v>318</v>
      </c>
      <c r="C148" s="50" t="s">
        <v>36</v>
      </c>
      <c r="D148" s="51">
        <v>0</v>
      </c>
      <c r="E148" s="51">
        <v>0</v>
      </c>
      <c r="F148" s="51">
        <v>0</v>
      </c>
      <c r="G148" s="51">
        <v>0</v>
      </c>
      <c r="H148" s="51">
        <v>91890</v>
      </c>
      <c r="I148" s="51">
        <v>10641</v>
      </c>
      <c r="J148" s="51">
        <v>0</v>
      </c>
      <c r="K148" s="51">
        <v>0</v>
      </c>
      <c r="L148" s="51">
        <v>102531</v>
      </c>
      <c r="M148" s="51">
        <v>0</v>
      </c>
      <c r="N148" s="50" t="s">
        <v>23</v>
      </c>
      <c r="O148" s="50" t="s">
        <v>18</v>
      </c>
      <c r="P148" s="50" t="s">
        <v>18</v>
      </c>
    </row>
    <row r="149" spans="1:16" ht="15" customHeight="1" x14ac:dyDescent="0.35">
      <c r="A149" s="52" t="s">
        <v>319</v>
      </c>
      <c r="B149" s="52" t="s">
        <v>319</v>
      </c>
      <c r="C149" s="52" t="s">
        <v>40</v>
      </c>
      <c r="D149" s="53">
        <v>0</v>
      </c>
      <c r="E149" s="53">
        <v>0</v>
      </c>
      <c r="F149" s="53">
        <v>0</v>
      </c>
      <c r="G149" s="53">
        <v>0</v>
      </c>
      <c r="H149" s="53">
        <v>0</v>
      </c>
      <c r="I149" s="53">
        <v>20065</v>
      </c>
      <c r="J149" s="53">
        <v>0</v>
      </c>
      <c r="K149" s="53">
        <v>0</v>
      </c>
      <c r="L149" s="53">
        <v>20065</v>
      </c>
      <c r="M149" s="53">
        <v>0</v>
      </c>
      <c r="N149" s="52" t="s">
        <v>17</v>
      </c>
      <c r="O149" s="52" t="s">
        <v>19</v>
      </c>
      <c r="P149" s="50" t="s">
        <v>19</v>
      </c>
    </row>
    <row r="150" spans="1:16" ht="15" customHeight="1" x14ac:dyDescent="0.35">
      <c r="A150" s="50" t="s">
        <v>320</v>
      </c>
      <c r="B150" s="50" t="s">
        <v>321</v>
      </c>
      <c r="C150" s="50" t="s">
        <v>36</v>
      </c>
      <c r="D150" s="51">
        <v>0</v>
      </c>
      <c r="E150" s="51">
        <v>0</v>
      </c>
      <c r="F150" s="51">
        <v>0</v>
      </c>
      <c r="G150" s="51">
        <v>23735</v>
      </c>
      <c r="H150" s="51">
        <v>0</v>
      </c>
      <c r="I150" s="51">
        <v>0</v>
      </c>
      <c r="J150" s="51">
        <v>0</v>
      </c>
      <c r="K150" s="51">
        <v>0</v>
      </c>
      <c r="L150" s="51">
        <v>23735</v>
      </c>
      <c r="M150" s="51">
        <v>0</v>
      </c>
      <c r="N150" s="50" t="s">
        <v>23</v>
      </c>
      <c r="O150" s="50" t="s">
        <v>18</v>
      </c>
      <c r="P150" s="50" t="s">
        <v>18</v>
      </c>
    </row>
    <row r="151" spans="1:16" ht="15" customHeight="1" x14ac:dyDescent="0.35">
      <c r="A151" s="52" t="s">
        <v>322</v>
      </c>
      <c r="B151" s="52" t="s">
        <v>323</v>
      </c>
      <c r="C151" s="52" t="s">
        <v>36</v>
      </c>
      <c r="D151" s="53">
        <v>0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16486</v>
      </c>
      <c r="K151" s="53">
        <v>0</v>
      </c>
      <c r="L151" s="53">
        <v>16486</v>
      </c>
      <c r="M151" s="53">
        <v>0</v>
      </c>
      <c r="N151" s="52" t="s">
        <v>23</v>
      </c>
      <c r="O151" s="52" t="s">
        <v>18</v>
      </c>
      <c r="P151" s="52" t="s">
        <v>18</v>
      </c>
    </row>
    <row r="152" spans="1:16" ht="15" customHeight="1" x14ac:dyDescent="0.35">
      <c r="A152" s="50" t="s">
        <v>324</v>
      </c>
      <c r="B152" s="50" t="s">
        <v>325</v>
      </c>
      <c r="C152" s="50" t="s">
        <v>36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10000</v>
      </c>
      <c r="L152" s="51">
        <v>10000</v>
      </c>
      <c r="M152" s="51">
        <v>0</v>
      </c>
      <c r="N152" s="50" t="s">
        <v>23</v>
      </c>
      <c r="O152" s="50" t="s">
        <v>18</v>
      </c>
      <c r="P152" s="50" t="s">
        <v>18</v>
      </c>
    </row>
    <row r="153" spans="1:16" ht="15" customHeight="1" x14ac:dyDescent="0.35">
      <c r="A153" s="52" t="s">
        <v>326</v>
      </c>
      <c r="B153" s="52" t="s">
        <v>327</v>
      </c>
      <c r="C153" s="52" t="s">
        <v>36</v>
      </c>
      <c r="D153" s="53">
        <v>0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14000</v>
      </c>
      <c r="L153" s="53">
        <v>14000</v>
      </c>
      <c r="M153" s="53">
        <v>0</v>
      </c>
      <c r="N153" s="52" t="s">
        <v>23</v>
      </c>
      <c r="O153" s="52" t="s">
        <v>18</v>
      </c>
      <c r="P153" s="52" t="s">
        <v>18</v>
      </c>
    </row>
    <row r="154" spans="1:16" ht="15" customHeight="1" x14ac:dyDescent="0.35">
      <c r="A154" s="50" t="s">
        <v>328</v>
      </c>
      <c r="B154" s="50" t="s">
        <v>329</v>
      </c>
      <c r="C154" s="50" t="s">
        <v>36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13515</v>
      </c>
      <c r="L154" s="51">
        <v>13515</v>
      </c>
      <c r="M154" s="51">
        <v>0</v>
      </c>
      <c r="N154" s="50" t="s">
        <v>23</v>
      </c>
      <c r="O154" s="50" t="s">
        <v>18</v>
      </c>
      <c r="P154" s="50" t="s">
        <v>18</v>
      </c>
    </row>
    <row r="155" spans="1:16" ht="15" customHeight="1" x14ac:dyDescent="0.35">
      <c r="A155" s="52" t="s">
        <v>330</v>
      </c>
      <c r="B155" s="52" t="s">
        <v>331</v>
      </c>
      <c r="C155" s="52" t="s">
        <v>38</v>
      </c>
      <c r="D155" s="53">
        <v>0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13018</v>
      </c>
      <c r="L155" s="53">
        <v>13018</v>
      </c>
      <c r="M155" s="53">
        <v>0</v>
      </c>
      <c r="N155" s="52" t="s">
        <v>33</v>
      </c>
      <c r="O155" s="52" t="s">
        <v>19</v>
      </c>
      <c r="P155" s="50" t="s">
        <v>19</v>
      </c>
    </row>
    <row r="156" spans="1:16" ht="15" customHeight="1" x14ac:dyDescent="0.35">
      <c r="A156" s="50" t="s">
        <v>332</v>
      </c>
      <c r="B156" s="50" t="s">
        <v>333</v>
      </c>
      <c r="C156" s="50" t="s">
        <v>36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12027</v>
      </c>
      <c r="J156" s="51">
        <v>0</v>
      </c>
      <c r="K156" s="51">
        <v>0</v>
      </c>
      <c r="L156" s="51">
        <v>12027</v>
      </c>
      <c r="M156" s="51">
        <v>0</v>
      </c>
      <c r="N156" s="50" t="s">
        <v>23</v>
      </c>
      <c r="O156" s="50" t="s">
        <v>18</v>
      </c>
      <c r="P156" s="50" t="s">
        <v>18</v>
      </c>
    </row>
    <row r="157" spans="1:16" ht="15" customHeight="1" x14ac:dyDescent="0.35">
      <c r="A157" s="52" t="s">
        <v>334</v>
      </c>
      <c r="B157" s="52" t="s">
        <v>335</v>
      </c>
      <c r="C157" s="52" t="s">
        <v>36</v>
      </c>
      <c r="D157" s="53">
        <v>0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9875</v>
      </c>
      <c r="L157" s="53">
        <v>9875</v>
      </c>
      <c r="M157" s="53">
        <v>0</v>
      </c>
      <c r="N157" s="52" t="s">
        <v>23</v>
      </c>
      <c r="O157" s="52" t="s">
        <v>18</v>
      </c>
      <c r="P157" s="52" t="s">
        <v>18</v>
      </c>
    </row>
    <row r="158" spans="1:16" ht="15" customHeight="1" x14ac:dyDescent="0.35">
      <c r="A158" s="50" t="s">
        <v>336</v>
      </c>
      <c r="B158" s="50" t="s">
        <v>337</v>
      </c>
      <c r="C158" s="50" t="s">
        <v>36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9338</v>
      </c>
      <c r="L158" s="51">
        <v>9338</v>
      </c>
      <c r="M158" s="51">
        <v>0</v>
      </c>
      <c r="N158" s="50" t="s">
        <v>23</v>
      </c>
      <c r="O158" s="50" t="s">
        <v>18</v>
      </c>
      <c r="P158" s="50" t="s">
        <v>18</v>
      </c>
    </row>
    <row r="159" spans="1:16" ht="15" customHeight="1" x14ac:dyDescent="0.35">
      <c r="A159" s="52" t="s">
        <v>338</v>
      </c>
      <c r="B159" s="52" t="s">
        <v>339</v>
      </c>
      <c r="C159" s="52" t="s">
        <v>36</v>
      </c>
      <c r="D159" s="53">
        <v>0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8489</v>
      </c>
      <c r="K159" s="53">
        <v>0</v>
      </c>
      <c r="L159" s="53">
        <v>8489</v>
      </c>
      <c r="M159" s="53">
        <v>0</v>
      </c>
      <c r="N159" s="52" t="s">
        <v>33</v>
      </c>
      <c r="O159" s="52" t="s">
        <v>19</v>
      </c>
      <c r="P159" s="50" t="s">
        <v>19</v>
      </c>
    </row>
    <row r="160" spans="1:16" ht="15" customHeight="1" x14ac:dyDescent="0.35">
      <c r="A160" s="50" t="s">
        <v>340</v>
      </c>
      <c r="B160" s="50" t="s">
        <v>341</v>
      </c>
      <c r="C160" s="50" t="s">
        <v>36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7609</v>
      </c>
      <c r="L160" s="51">
        <v>7609</v>
      </c>
      <c r="M160" s="51">
        <v>0</v>
      </c>
      <c r="N160" s="50" t="s">
        <v>33</v>
      </c>
      <c r="O160" s="50" t="s">
        <v>19</v>
      </c>
      <c r="P160" s="50" t="s">
        <v>19</v>
      </c>
    </row>
    <row r="161" spans="1:16" ht="15" customHeight="1" x14ac:dyDescent="0.35">
      <c r="A161" s="52" t="s">
        <v>342</v>
      </c>
      <c r="B161" s="52" t="s">
        <v>343</v>
      </c>
      <c r="C161" s="52" t="s">
        <v>36</v>
      </c>
      <c r="D161" s="53">
        <v>0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7380</v>
      </c>
      <c r="K161" s="53">
        <v>0</v>
      </c>
      <c r="L161" s="53">
        <v>7380</v>
      </c>
      <c r="M161" s="53">
        <v>0</v>
      </c>
      <c r="N161" s="52" t="s">
        <v>33</v>
      </c>
      <c r="O161" s="52" t="s">
        <v>19</v>
      </c>
      <c r="P161" s="50" t="s">
        <v>19</v>
      </c>
    </row>
    <row r="162" spans="1:16" ht="15" customHeight="1" x14ac:dyDescent="0.35">
      <c r="A162" s="50" t="s">
        <v>344</v>
      </c>
      <c r="B162" s="50" t="s">
        <v>344</v>
      </c>
      <c r="C162" s="50" t="s">
        <v>40</v>
      </c>
      <c r="D162" s="51">
        <v>6660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6660</v>
      </c>
      <c r="M162" s="51">
        <v>0</v>
      </c>
      <c r="N162" s="50" t="s">
        <v>17</v>
      </c>
      <c r="O162" s="50" t="s">
        <v>19</v>
      </c>
      <c r="P162" s="50" t="s">
        <v>19</v>
      </c>
    </row>
    <row r="163" spans="1:16" ht="15" customHeight="1" x14ac:dyDescent="0.35">
      <c r="A163" s="52" t="s">
        <v>345</v>
      </c>
      <c r="B163" s="52" t="s">
        <v>345</v>
      </c>
      <c r="C163" s="52" t="s">
        <v>40</v>
      </c>
      <c r="D163" s="53">
        <v>0</v>
      </c>
      <c r="E163" s="53">
        <v>0</v>
      </c>
      <c r="F163" s="53">
        <v>0</v>
      </c>
      <c r="G163" s="53">
        <v>0</v>
      </c>
      <c r="H163" s="53">
        <v>5576</v>
      </c>
      <c r="I163" s="53">
        <v>5576</v>
      </c>
      <c r="J163" s="53">
        <v>0</v>
      </c>
      <c r="K163" s="53">
        <v>0</v>
      </c>
      <c r="L163" s="53">
        <v>11152</v>
      </c>
      <c r="M163" s="53">
        <v>0</v>
      </c>
      <c r="N163" s="52" t="s">
        <v>17</v>
      </c>
      <c r="O163" s="52" t="s">
        <v>19</v>
      </c>
      <c r="P163" s="50" t="s">
        <v>19</v>
      </c>
    </row>
    <row r="164" spans="1:16" ht="15" customHeight="1" x14ac:dyDescent="0.35">
      <c r="A164" s="50" t="s">
        <v>346</v>
      </c>
      <c r="B164" s="50" t="s">
        <v>347</v>
      </c>
      <c r="C164" s="50" t="s">
        <v>36</v>
      </c>
      <c r="D164" s="51">
        <v>0</v>
      </c>
      <c r="E164" s="51">
        <v>0</v>
      </c>
      <c r="F164" s="51">
        <v>0</v>
      </c>
      <c r="G164" s="51">
        <v>0</v>
      </c>
      <c r="H164" s="51">
        <v>28904</v>
      </c>
      <c r="I164" s="51">
        <v>0</v>
      </c>
      <c r="J164" s="51">
        <v>0</v>
      </c>
      <c r="K164" s="51">
        <v>0</v>
      </c>
      <c r="L164" s="51">
        <v>28904</v>
      </c>
      <c r="M164" s="51">
        <v>0</v>
      </c>
      <c r="N164" s="50" t="s">
        <v>23</v>
      </c>
      <c r="O164" s="50" t="s">
        <v>18</v>
      </c>
      <c r="P164" s="50" t="s">
        <v>18</v>
      </c>
    </row>
    <row r="165" spans="1:16" ht="15" customHeight="1" x14ac:dyDescent="0.35">
      <c r="A165" s="52" t="s">
        <v>348</v>
      </c>
      <c r="B165" s="52" t="s">
        <v>349</v>
      </c>
      <c r="C165" s="52" t="s">
        <v>36</v>
      </c>
      <c r="D165" s="53">
        <v>0</v>
      </c>
      <c r="E165" s="53">
        <v>59809</v>
      </c>
      <c r="F165" s="53">
        <v>0</v>
      </c>
      <c r="G165" s="53">
        <v>0</v>
      </c>
      <c r="H165" s="53">
        <v>59810</v>
      </c>
      <c r="I165" s="53">
        <v>-113992</v>
      </c>
      <c r="J165" s="53">
        <v>0</v>
      </c>
      <c r="K165" s="53">
        <v>0</v>
      </c>
      <c r="L165" s="53">
        <v>5627</v>
      </c>
      <c r="M165" s="53">
        <v>0</v>
      </c>
      <c r="N165" s="52" t="s">
        <v>23</v>
      </c>
      <c r="O165" s="52" t="s">
        <v>18</v>
      </c>
      <c r="P165" s="52" t="s">
        <v>16</v>
      </c>
    </row>
    <row r="166" spans="1:16" ht="15" customHeight="1" x14ac:dyDescent="0.35">
      <c r="A166" s="50" t="s">
        <v>350</v>
      </c>
      <c r="B166" s="50" t="s">
        <v>350</v>
      </c>
      <c r="C166" s="50" t="s">
        <v>40</v>
      </c>
      <c r="D166" s="51">
        <v>0</v>
      </c>
      <c r="E166" s="51">
        <v>42498</v>
      </c>
      <c r="F166" s="51">
        <v>87834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130332</v>
      </c>
      <c r="M166" s="51">
        <v>0</v>
      </c>
      <c r="N166" s="50" t="s">
        <v>17</v>
      </c>
      <c r="O166" s="50" t="s">
        <v>19</v>
      </c>
      <c r="P166" s="50" t="s">
        <v>19</v>
      </c>
    </row>
    <row r="167" spans="1:16" ht="15" customHeight="1" x14ac:dyDescent="0.35">
      <c r="A167" s="52" t="s">
        <v>351</v>
      </c>
      <c r="B167" s="52" t="s">
        <v>351</v>
      </c>
      <c r="C167" s="52" t="s">
        <v>40</v>
      </c>
      <c r="D167" s="53">
        <v>0</v>
      </c>
      <c r="E167" s="53">
        <v>73150</v>
      </c>
      <c r="F167" s="53">
        <v>0</v>
      </c>
      <c r="G167" s="53">
        <v>0</v>
      </c>
      <c r="H167" s="53">
        <v>113240</v>
      </c>
      <c r="I167" s="53">
        <v>0</v>
      </c>
      <c r="J167" s="53">
        <v>0</v>
      </c>
      <c r="K167" s="53">
        <v>0</v>
      </c>
      <c r="L167" s="53">
        <v>186390</v>
      </c>
      <c r="M167" s="53">
        <v>0</v>
      </c>
      <c r="N167" s="52" t="s">
        <v>17</v>
      </c>
      <c r="O167" s="52" t="s">
        <v>19</v>
      </c>
      <c r="P167" s="50" t="s">
        <v>19</v>
      </c>
    </row>
    <row r="168" spans="1:16" ht="15" customHeight="1" x14ac:dyDescent="0.35">
      <c r="A168" s="50" t="s">
        <v>352</v>
      </c>
      <c r="B168" s="50" t="s">
        <v>352</v>
      </c>
      <c r="C168" s="50" t="s">
        <v>40</v>
      </c>
      <c r="D168" s="51">
        <v>0</v>
      </c>
      <c r="E168" s="51">
        <v>104076</v>
      </c>
      <c r="F168" s="51">
        <v>0</v>
      </c>
      <c r="G168" s="51">
        <v>0</v>
      </c>
      <c r="H168" s="51">
        <v>94811</v>
      </c>
      <c r="I168" s="51">
        <v>0</v>
      </c>
      <c r="J168" s="51">
        <v>0</v>
      </c>
      <c r="K168" s="51">
        <v>0</v>
      </c>
      <c r="L168" s="51">
        <v>198887</v>
      </c>
      <c r="M168" s="51">
        <v>0</v>
      </c>
      <c r="N168" s="50" t="s">
        <v>17</v>
      </c>
      <c r="O168" s="50" t="s">
        <v>19</v>
      </c>
      <c r="P168" s="50" t="s">
        <v>19</v>
      </c>
    </row>
    <row r="169" spans="1:16" ht="15" customHeight="1" x14ac:dyDescent="0.35">
      <c r="A169" s="52" t="s">
        <v>353</v>
      </c>
      <c r="B169" s="52" t="s">
        <v>353</v>
      </c>
      <c r="C169" s="52" t="s">
        <v>40</v>
      </c>
      <c r="D169" s="53">
        <v>765595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765595</v>
      </c>
      <c r="M169" s="53">
        <v>0</v>
      </c>
      <c r="N169" s="52" t="s">
        <v>17</v>
      </c>
      <c r="O169" s="52" t="s">
        <v>19</v>
      </c>
      <c r="P169" s="50" t="s">
        <v>19</v>
      </c>
    </row>
    <row r="170" spans="1:16" ht="15" customHeight="1" x14ac:dyDescent="0.35">
      <c r="A170" s="50" t="s">
        <v>354</v>
      </c>
      <c r="B170" s="50" t="s">
        <v>354</v>
      </c>
      <c r="C170" s="50" t="s">
        <v>40</v>
      </c>
      <c r="D170" s="51">
        <v>0</v>
      </c>
      <c r="E170" s="51">
        <v>276120</v>
      </c>
      <c r="F170" s="51">
        <v>0</v>
      </c>
      <c r="G170" s="51">
        <v>0</v>
      </c>
      <c r="H170" s="51">
        <v>0</v>
      </c>
      <c r="I170" s="51">
        <v>259150</v>
      </c>
      <c r="J170" s="51">
        <v>0</v>
      </c>
      <c r="K170" s="51">
        <v>0</v>
      </c>
      <c r="L170" s="51">
        <v>535270</v>
      </c>
      <c r="M170" s="51">
        <v>0</v>
      </c>
      <c r="N170" s="50" t="s">
        <v>17</v>
      </c>
      <c r="O170" s="50" t="s">
        <v>19</v>
      </c>
      <c r="P170" s="50" t="s">
        <v>19</v>
      </c>
    </row>
    <row r="171" spans="1:16" ht="15" customHeight="1" x14ac:dyDescent="0.35">
      <c r="A171" s="52" t="s">
        <v>355</v>
      </c>
      <c r="B171" s="52" t="s">
        <v>355</v>
      </c>
      <c r="C171" s="52" t="s">
        <v>38</v>
      </c>
      <c r="D171" s="53">
        <v>0</v>
      </c>
      <c r="E171" s="53">
        <v>0</v>
      </c>
      <c r="F171" s="53">
        <v>0</v>
      </c>
      <c r="G171" s="53">
        <v>0</v>
      </c>
      <c r="H171" s="53">
        <v>77507</v>
      </c>
      <c r="I171" s="53">
        <v>0</v>
      </c>
      <c r="J171" s="53">
        <v>0</v>
      </c>
      <c r="K171" s="53">
        <v>0</v>
      </c>
      <c r="L171" s="53">
        <v>77507</v>
      </c>
      <c r="M171" s="53">
        <v>0</v>
      </c>
      <c r="N171" s="52" t="s">
        <v>29</v>
      </c>
      <c r="O171" s="52" t="s">
        <v>19</v>
      </c>
      <c r="P171" s="50" t="s">
        <v>19</v>
      </c>
    </row>
    <row r="172" spans="1:16" ht="15" customHeight="1" x14ac:dyDescent="0.35">
      <c r="A172" s="50" t="s">
        <v>356</v>
      </c>
      <c r="B172" s="50" t="s">
        <v>357</v>
      </c>
      <c r="C172" s="50" t="s">
        <v>36</v>
      </c>
      <c r="D172" s="51">
        <v>0</v>
      </c>
      <c r="E172" s="51">
        <v>0</v>
      </c>
      <c r="F172" s="51">
        <v>31486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31486</v>
      </c>
      <c r="M172" s="51">
        <v>0</v>
      </c>
      <c r="N172" s="50" t="s">
        <v>23</v>
      </c>
      <c r="O172" s="50" t="s">
        <v>18</v>
      </c>
      <c r="P172" s="50" t="s">
        <v>18</v>
      </c>
    </row>
    <row r="173" spans="1:16" ht="15" customHeight="1" x14ac:dyDescent="0.35">
      <c r="A173" s="52" t="s">
        <v>358</v>
      </c>
      <c r="B173" s="52" t="s">
        <v>359</v>
      </c>
      <c r="C173" s="52" t="s">
        <v>36</v>
      </c>
      <c r="D173" s="53">
        <v>0</v>
      </c>
      <c r="E173" s="53">
        <v>0</v>
      </c>
      <c r="F173" s="53">
        <v>0</v>
      </c>
      <c r="G173" s="53">
        <v>0</v>
      </c>
      <c r="H173" s="53">
        <v>60559</v>
      </c>
      <c r="I173" s="53">
        <v>0</v>
      </c>
      <c r="J173" s="53">
        <v>0</v>
      </c>
      <c r="K173" s="53">
        <v>0</v>
      </c>
      <c r="L173" s="53">
        <v>60559</v>
      </c>
      <c r="M173" s="53">
        <v>0</v>
      </c>
      <c r="N173" s="52" t="s">
        <v>23</v>
      </c>
      <c r="O173" s="52" t="s">
        <v>18</v>
      </c>
      <c r="P173" s="52" t="s">
        <v>18</v>
      </c>
    </row>
    <row r="174" spans="1:16" ht="15" customHeight="1" x14ac:dyDescent="0.35">
      <c r="A174" s="50" t="s">
        <v>360</v>
      </c>
      <c r="B174" s="50" t="s">
        <v>361</v>
      </c>
      <c r="C174" s="50" t="s">
        <v>36</v>
      </c>
      <c r="D174" s="51">
        <v>0</v>
      </c>
      <c r="E174" s="51">
        <v>0</v>
      </c>
      <c r="F174" s="51">
        <v>0</v>
      </c>
      <c r="G174" s="51">
        <v>56900</v>
      </c>
      <c r="H174" s="51">
        <v>106781</v>
      </c>
      <c r="I174" s="51">
        <v>0</v>
      </c>
      <c r="J174" s="51">
        <v>0</v>
      </c>
      <c r="K174" s="51">
        <v>0</v>
      </c>
      <c r="L174" s="51">
        <v>163681</v>
      </c>
      <c r="M174" s="51">
        <v>138681</v>
      </c>
      <c r="N174" s="50" t="s">
        <v>23</v>
      </c>
      <c r="O174" s="50" t="s">
        <v>18</v>
      </c>
      <c r="P174" s="50" t="s">
        <v>18</v>
      </c>
    </row>
    <row r="175" spans="1:16" ht="15" customHeight="1" x14ac:dyDescent="0.35">
      <c r="A175" s="52" t="s">
        <v>362</v>
      </c>
      <c r="B175" s="52" t="s">
        <v>363</v>
      </c>
      <c r="C175" s="52" t="s">
        <v>36</v>
      </c>
      <c r="D175" s="53">
        <v>0</v>
      </c>
      <c r="E175" s="53">
        <v>0</v>
      </c>
      <c r="F175" s="53">
        <v>0</v>
      </c>
      <c r="G175" s="53">
        <v>158946</v>
      </c>
      <c r="H175" s="53">
        <v>0</v>
      </c>
      <c r="I175" s="53">
        <v>0</v>
      </c>
      <c r="J175" s="53">
        <v>0</v>
      </c>
      <c r="K175" s="53">
        <v>0</v>
      </c>
      <c r="L175" s="53">
        <v>158946</v>
      </c>
      <c r="M175" s="53">
        <v>0</v>
      </c>
      <c r="N175" s="52" t="s">
        <v>23</v>
      </c>
      <c r="O175" s="52" t="s">
        <v>18</v>
      </c>
      <c r="P175" s="52" t="s">
        <v>18</v>
      </c>
    </row>
    <row r="176" spans="1:16" ht="15" customHeight="1" x14ac:dyDescent="0.35">
      <c r="A176" s="50" t="s">
        <v>364</v>
      </c>
      <c r="B176" s="50" t="s">
        <v>365</v>
      </c>
      <c r="C176" s="50" t="s">
        <v>36</v>
      </c>
      <c r="D176" s="51">
        <v>0</v>
      </c>
      <c r="E176" s="51">
        <v>0</v>
      </c>
      <c r="F176" s="51">
        <v>0</v>
      </c>
      <c r="G176" s="51">
        <v>1640</v>
      </c>
      <c r="H176" s="51">
        <v>0</v>
      </c>
      <c r="I176" s="51">
        <v>0</v>
      </c>
      <c r="J176" s="51">
        <v>0</v>
      </c>
      <c r="K176" s="51">
        <v>0</v>
      </c>
      <c r="L176" s="51">
        <v>1640</v>
      </c>
      <c r="M176" s="51">
        <v>0</v>
      </c>
      <c r="N176" s="50" t="s">
        <v>33</v>
      </c>
      <c r="O176" s="50" t="s">
        <v>19</v>
      </c>
      <c r="P176" s="50" t="s">
        <v>19</v>
      </c>
    </row>
    <row r="177" spans="1:16" ht="15" customHeight="1" x14ac:dyDescent="0.35">
      <c r="A177" s="52" t="s">
        <v>366</v>
      </c>
      <c r="B177" s="52" t="s">
        <v>367</v>
      </c>
      <c r="C177" s="52" t="s">
        <v>36</v>
      </c>
      <c r="D177" s="53">
        <v>0</v>
      </c>
      <c r="E177" s="53">
        <v>0</v>
      </c>
      <c r="F177" s="53">
        <v>9499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9499</v>
      </c>
      <c r="M177" s="53">
        <v>0</v>
      </c>
      <c r="N177" s="52" t="s">
        <v>23</v>
      </c>
      <c r="O177" s="52" t="s">
        <v>18</v>
      </c>
      <c r="P177" s="52" t="s">
        <v>18</v>
      </c>
    </row>
    <row r="178" spans="1:16" ht="15" customHeight="1" x14ac:dyDescent="0.35">
      <c r="A178" s="50" t="s">
        <v>368</v>
      </c>
      <c r="B178" s="50" t="s">
        <v>369</v>
      </c>
      <c r="C178" s="50" t="s">
        <v>36</v>
      </c>
      <c r="D178" s="51">
        <v>1227216</v>
      </c>
      <c r="E178" s="51">
        <v>0</v>
      </c>
      <c r="F178" s="51">
        <v>0</v>
      </c>
      <c r="G178" s="51">
        <v>1227216</v>
      </c>
      <c r="H178" s="51">
        <v>-800045</v>
      </c>
      <c r="I178" s="51">
        <v>0</v>
      </c>
      <c r="J178" s="51">
        <v>0</v>
      </c>
      <c r="K178" s="51">
        <v>0</v>
      </c>
      <c r="L178" s="51">
        <v>1654387</v>
      </c>
      <c r="M178" s="51">
        <v>0</v>
      </c>
      <c r="N178" s="50" t="s">
        <v>26</v>
      </c>
      <c r="O178" s="50" t="s">
        <v>17</v>
      </c>
      <c r="P178" s="50" t="s">
        <v>16</v>
      </c>
    </row>
    <row r="179" spans="1:16" ht="15" customHeight="1" x14ac:dyDescent="0.35">
      <c r="A179" s="52" t="s">
        <v>370</v>
      </c>
      <c r="B179" s="52" t="s">
        <v>371</v>
      </c>
      <c r="C179" s="52" t="s">
        <v>36</v>
      </c>
      <c r="D179" s="53">
        <v>0</v>
      </c>
      <c r="E179" s="53">
        <v>1437480</v>
      </c>
      <c r="F179" s="53">
        <v>0</v>
      </c>
      <c r="G179" s="53">
        <v>0</v>
      </c>
      <c r="H179" s="53">
        <v>994908</v>
      </c>
      <c r="I179" s="53">
        <v>0</v>
      </c>
      <c r="J179" s="53">
        <v>0</v>
      </c>
      <c r="K179" s="53">
        <v>0</v>
      </c>
      <c r="L179" s="53">
        <v>2432388</v>
      </c>
      <c r="M179" s="53">
        <v>0</v>
      </c>
      <c r="N179" s="52" t="s">
        <v>23</v>
      </c>
      <c r="O179" s="52" t="s">
        <v>17</v>
      </c>
      <c r="P179" s="52" t="s">
        <v>16</v>
      </c>
    </row>
    <row r="180" spans="1:16" ht="15" customHeight="1" x14ac:dyDescent="0.35">
      <c r="A180" s="50" t="s">
        <v>372</v>
      </c>
      <c r="B180" s="50" t="s">
        <v>373</v>
      </c>
      <c r="C180" s="50" t="s">
        <v>36</v>
      </c>
      <c r="D180" s="51">
        <v>0</v>
      </c>
      <c r="E180" s="51">
        <v>0</v>
      </c>
      <c r="F180" s="51">
        <v>0</v>
      </c>
      <c r="G180" s="51">
        <v>0</v>
      </c>
      <c r="H180" s="51">
        <v>1178215</v>
      </c>
      <c r="I180" s="51">
        <v>0</v>
      </c>
      <c r="J180" s="51">
        <v>0</v>
      </c>
      <c r="K180" s="51">
        <v>0</v>
      </c>
      <c r="L180" s="51">
        <v>1178215</v>
      </c>
      <c r="M180" s="51">
        <v>0</v>
      </c>
      <c r="N180" s="50" t="s">
        <v>23</v>
      </c>
      <c r="O180" s="50" t="s">
        <v>27</v>
      </c>
      <c r="P180" s="50" t="s">
        <v>18</v>
      </c>
    </row>
    <row r="181" spans="1:16" ht="15" customHeight="1" x14ac:dyDescent="0.35">
      <c r="A181" s="52" t="s">
        <v>374</v>
      </c>
      <c r="B181" s="52" t="s">
        <v>375</v>
      </c>
      <c r="C181" s="52" t="s">
        <v>36</v>
      </c>
      <c r="D181" s="53">
        <v>0</v>
      </c>
      <c r="E181" s="53">
        <v>0</v>
      </c>
      <c r="F181" s="53">
        <v>0</v>
      </c>
      <c r="G181" s="53">
        <v>0</v>
      </c>
      <c r="H181" s="53">
        <v>17416</v>
      </c>
      <c r="I181" s="53">
        <v>0</v>
      </c>
      <c r="J181" s="53">
        <v>0</v>
      </c>
      <c r="K181" s="53">
        <v>0</v>
      </c>
      <c r="L181" s="53">
        <v>17416</v>
      </c>
      <c r="M181" s="53">
        <v>0</v>
      </c>
      <c r="N181" s="52" t="s">
        <v>23</v>
      </c>
      <c r="O181" s="52" t="s">
        <v>18</v>
      </c>
      <c r="P181" s="52" t="s">
        <v>18</v>
      </c>
    </row>
    <row r="182" spans="1:16" ht="15" customHeight="1" x14ac:dyDescent="0.35">
      <c r="A182" s="50" t="s">
        <v>376</v>
      </c>
      <c r="B182" s="50" t="s">
        <v>377</v>
      </c>
      <c r="C182" s="50" t="s">
        <v>36</v>
      </c>
      <c r="D182" s="51">
        <v>0</v>
      </c>
      <c r="E182" s="51">
        <v>0</v>
      </c>
      <c r="F182" s="51">
        <v>0</v>
      </c>
      <c r="G182" s="51">
        <v>1129491</v>
      </c>
      <c r="H182" s="51">
        <v>1371157</v>
      </c>
      <c r="I182" s="51">
        <v>0</v>
      </c>
      <c r="J182" s="51">
        <v>0</v>
      </c>
      <c r="K182" s="51">
        <v>0</v>
      </c>
      <c r="L182" s="51">
        <v>2500648</v>
      </c>
      <c r="M182" s="51">
        <v>0</v>
      </c>
      <c r="N182" s="50" t="s">
        <v>23</v>
      </c>
      <c r="O182" s="50" t="s">
        <v>27</v>
      </c>
      <c r="P182" s="50" t="s">
        <v>18</v>
      </c>
    </row>
    <row r="183" spans="1:16" ht="15" customHeight="1" x14ac:dyDescent="0.35">
      <c r="A183" s="52" t="s">
        <v>378</v>
      </c>
      <c r="B183" s="52" t="s">
        <v>379</v>
      </c>
      <c r="C183" s="52" t="s">
        <v>38</v>
      </c>
      <c r="D183" s="53">
        <v>0</v>
      </c>
      <c r="E183" s="53">
        <v>0</v>
      </c>
      <c r="F183" s="53">
        <v>0</v>
      </c>
      <c r="G183" s="53">
        <v>27718</v>
      </c>
      <c r="H183" s="53">
        <v>21165</v>
      </c>
      <c r="I183" s="53">
        <v>0</v>
      </c>
      <c r="J183" s="53">
        <v>0</v>
      </c>
      <c r="K183" s="53">
        <v>0</v>
      </c>
      <c r="L183" s="53">
        <v>48883</v>
      </c>
      <c r="M183" s="53">
        <v>0</v>
      </c>
      <c r="N183" s="52" t="s">
        <v>29</v>
      </c>
      <c r="O183" s="52" t="s">
        <v>18</v>
      </c>
      <c r="P183" s="52" t="s">
        <v>18</v>
      </c>
    </row>
    <row r="184" spans="1:16" ht="15" customHeight="1" x14ac:dyDescent="0.35">
      <c r="A184" s="50" t="s">
        <v>380</v>
      </c>
      <c r="B184" s="50" t="s">
        <v>381</v>
      </c>
      <c r="C184" s="50" t="s">
        <v>38</v>
      </c>
      <c r="D184" s="51">
        <v>0</v>
      </c>
      <c r="E184" s="51">
        <v>0</v>
      </c>
      <c r="F184" s="51">
        <v>23739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23739</v>
      </c>
      <c r="M184" s="51">
        <v>0</v>
      </c>
      <c r="N184" s="50" t="s">
        <v>33</v>
      </c>
      <c r="O184" s="50" t="s">
        <v>19</v>
      </c>
      <c r="P184" s="50" t="s">
        <v>19</v>
      </c>
    </row>
    <row r="185" spans="1:16" ht="15" customHeight="1" x14ac:dyDescent="0.35">
      <c r="A185" s="52" t="s">
        <v>382</v>
      </c>
      <c r="B185" s="52" t="s">
        <v>383</v>
      </c>
      <c r="C185" s="52" t="s">
        <v>36</v>
      </c>
      <c r="D185" s="53">
        <v>0</v>
      </c>
      <c r="E185" s="53">
        <v>0</v>
      </c>
      <c r="F185" s="53">
        <v>0</v>
      </c>
      <c r="G185" s="53">
        <v>0</v>
      </c>
      <c r="H185" s="53">
        <v>15463</v>
      </c>
      <c r="I185" s="53">
        <v>0</v>
      </c>
      <c r="J185" s="53">
        <v>0</v>
      </c>
      <c r="K185" s="53">
        <v>0</v>
      </c>
      <c r="L185" s="53">
        <v>15463</v>
      </c>
      <c r="M185" s="53">
        <v>0</v>
      </c>
      <c r="N185" s="52" t="s">
        <v>23</v>
      </c>
      <c r="O185" s="52" t="s">
        <v>18</v>
      </c>
      <c r="P185" s="52" t="s">
        <v>18</v>
      </c>
    </row>
    <row r="186" spans="1:16" ht="15" customHeight="1" x14ac:dyDescent="0.35">
      <c r="A186" s="50" t="s">
        <v>384</v>
      </c>
      <c r="B186" s="50" t="s">
        <v>385</v>
      </c>
      <c r="C186" s="50" t="s">
        <v>36</v>
      </c>
      <c r="D186" s="51">
        <v>0</v>
      </c>
      <c r="E186" s="51">
        <v>143541</v>
      </c>
      <c r="F186" s="51">
        <v>0</v>
      </c>
      <c r="G186" s="51">
        <v>32043</v>
      </c>
      <c r="H186" s="51">
        <v>0</v>
      </c>
      <c r="I186" s="51">
        <v>0</v>
      </c>
      <c r="J186" s="51">
        <v>0</v>
      </c>
      <c r="K186" s="51">
        <v>0</v>
      </c>
      <c r="L186" s="51">
        <v>175584</v>
      </c>
      <c r="M186" s="51">
        <v>0</v>
      </c>
      <c r="N186" s="50" t="s">
        <v>23</v>
      </c>
      <c r="O186" s="50" t="s">
        <v>17</v>
      </c>
      <c r="P186" s="50" t="s">
        <v>16</v>
      </c>
    </row>
    <row r="187" spans="1:16" ht="15" customHeight="1" x14ac:dyDescent="0.35">
      <c r="A187" s="52" t="s">
        <v>386</v>
      </c>
      <c r="B187" s="52" t="s">
        <v>387</v>
      </c>
      <c r="C187" s="52" t="s">
        <v>36</v>
      </c>
      <c r="D187" s="53">
        <v>0</v>
      </c>
      <c r="E187" s="53">
        <v>0</v>
      </c>
      <c r="F187" s="53">
        <v>0</v>
      </c>
      <c r="G187" s="53">
        <v>0</v>
      </c>
      <c r="H187" s="53">
        <v>50000</v>
      </c>
      <c r="I187" s="53">
        <v>0</v>
      </c>
      <c r="J187" s="53">
        <v>0</v>
      </c>
      <c r="K187" s="53">
        <v>0</v>
      </c>
      <c r="L187" s="53">
        <v>50000</v>
      </c>
      <c r="M187" s="53">
        <v>0</v>
      </c>
      <c r="N187" s="52" t="s">
        <v>23</v>
      </c>
      <c r="O187" s="52" t="s">
        <v>18</v>
      </c>
      <c r="P187" s="52" t="s">
        <v>18</v>
      </c>
    </row>
    <row r="188" spans="1:16" ht="15" customHeight="1" x14ac:dyDescent="0.35">
      <c r="A188" s="50" t="s">
        <v>388</v>
      </c>
      <c r="B188" s="50" t="s">
        <v>389</v>
      </c>
      <c r="C188" s="50" t="s">
        <v>36</v>
      </c>
      <c r="D188" s="51">
        <v>0</v>
      </c>
      <c r="E188" s="51">
        <v>0</v>
      </c>
      <c r="F188" s="51">
        <v>0</v>
      </c>
      <c r="G188" s="51">
        <v>498908</v>
      </c>
      <c r="H188" s="51">
        <v>0</v>
      </c>
      <c r="I188" s="51">
        <v>0</v>
      </c>
      <c r="J188" s="51">
        <v>0</v>
      </c>
      <c r="K188" s="51">
        <v>0</v>
      </c>
      <c r="L188" s="51">
        <v>498908</v>
      </c>
      <c r="M188" s="51">
        <v>348908</v>
      </c>
      <c r="N188" s="50" t="s">
        <v>23</v>
      </c>
      <c r="O188" s="50" t="s">
        <v>18</v>
      </c>
      <c r="P188" s="50" t="s">
        <v>18</v>
      </c>
    </row>
    <row r="189" spans="1:16" ht="15" customHeight="1" x14ac:dyDescent="0.35">
      <c r="A189" s="52" t="s">
        <v>390</v>
      </c>
      <c r="B189" s="52" t="s">
        <v>391</v>
      </c>
      <c r="C189" s="52" t="s">
        <v>36</v>
      </c>
      <c r="D189" s="53">
        <v>0</v>
      </c>
      <c r="E189" s="53">
        <v>0</v>
      </c>
      <c r="F189" s="53">
        <v>0</v>
      </c>
      <c r="G189" s="53">
        <v>0</v>
      </c>
      <c r="H189" s="53">
        <v>76585</v>
      </c>
      <c r="I189" s="53">
        <v>0</v>
      </c>
      <c r="J189" s="53">
        <v>0</v>
      </c>
      <c r="K189" s="53">
        <v>0</v>
      </c>
      <c r="L189" s="53">
        <v>76585</v>
      </c>
      <c r="M189" s="53">
        <v>68112</v>
      </c>
      <c r="N189" s="52" t="s">
        <v>23</v>
      </c>
      <c r="O189" s="52" t="s">
        <v>18</v>
      </c>
      <c r="P189" s="52" t="s">
        <v>18</v>
      </c>
    </row>
    <row r="190" spans="1:16" ht="15" customHeight="1" x14ac:dyDescent="0.35">
      <c r="A190" s="50" t="s">
        <v>392</v>
      </c>
      <c r="B190" s="50" t="s">
        <v>393</v>
      </c>
      <c r="C190" s="50" t="s">
        <v>36</v>
      </c>
      <c r="D190" s="51">
        <v>0</v>
      </c>
      <c r="E190" s="51">
        <v>383905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383905</v>
      </c>
      <c r="M190" s="51">
        <v>0</v>
      </c>
      <c r="N190" s="50" t="s">
        <v>26</v>
      </c>
      <c r="O190" s="50" t="s">
        <v>27</v>
      </c>
      <c r="P190" s="50" t="s">
        <v>16</v>
      </c>
    </row>
    <row r="191" spans="1:16" ht="15" customHeight="1" x14ac:dyDescent="0.35">
      <c r="A191" s="52" t="s">
        <v>394</v>
      </c>
      <c r="B191" s="52" t="s">
        <v>395</v>
      </c>
      <c r="C191" s="52" t="s">
        <v>36</v>
      </c>
      <c r="D191" s="53">
        <v>0</v>
      </c>
      <c r="E191" s="53">
        <v>0</v>
      </c>
      <c r="F191" s="53">
        <v>0</v>
      </c>
      <c r="G191" s="53">
        <v>0</v>
      </c>
      <c r="H191" s="53">
        <v>104797</v>
      </c>
      <c r="I191" s="53">
        <v>104797</v>
      </c>
      <c r="J191" s="53">
        <v>0</v>
      </c>
      <c r="K191" s="53">
        <v>0</v>
      </c>
      <c r="L191" s="53">
        <v>209594</v>
      </c>
      <c r="M191" s="53">
        <v>0</v>
      </c>
      <c r="N191" s="52" t="s">
        <v>23</v>
      </c>
      <c r="O191" s="52" t="s">
        <v>18</v>
      </c>
      <c r="P191" s="52" t="s">
        <v>18</v>
      </c>
    </row>
    <row r="192" spans="1:16" ht="15" customHeight="1" x14ac:dyDescent="0.35">
      <c r="A192" s="50" t="s">
        <v>396</v>
      </c>
      <c r="B192" s="50" t="s">
        <v>397</v>
      </c>
      <c r="C192" s="50" t="s">
        <v>36</v>
      </c>
      <c r="D192" s="51">
        <v>0</v>
      </c>
      <c r="E192" s="51">
        <v>0</v>
      </c>
      <c r="F192" s="51">
        <v>0</v>
      </c>
      <c r="G192" s="51">
        <v>104280</v>
      </c>
      <c r="H192" s="51">
        <v>0</v>
      </c>
      <c r="I192" s="51">
        <v>0</v>
      </c>
      <c r="J192" s="51">
        <v>0</v>
      </c>
      <c r="K192" s="51">
        <v>0</v>
      </c>
      <c r="L192" s="51">
        <v>104280</v>
      </c>
      <c r="M192" s="51">
        <v>0</v>
      </c>
      <c r="N192" s="50" t="s">
        <v>23</v>
      </c>
      <c r="O192" s="50" t="s">
        <v>18</v>
      </c>
      <c r="P192" s="50" t="s">
        <v>18</v>
      </c>
    </row>
    <row r="193" spans="1:16" ht="15" customHeight="1" x14ac:dyDescent="0.35">
      <c r="A193" s="52" t="s">
        <v>398</v>
      </c>
      <c r="B193" s="52" t="s">
        <v>399</v>
      </c>
      <c r="C193" s="52" t="s">
        <v>36</v>
      </c>
      <c r="D193" s="53">
        <v>0</v>
      </c>
      <c r="E193" s="53">
        <v>0</v>
      </c>
      <c r="F193" s="53">
        <v>0</v>
      </c>
      <c r="G193" s="53">
        <v>0</v>
      </c>
      <c r="H193" s="53">
        <v>15264</v>
      </c>
      <c r="I193" s="53">
        <v>0</v>
      </c>
      <c r="J193" s="53">
        <v>0</v>
      </c>
      <c r="K193" s="53">
        <v>0</v>
      </c>
      <c r="L193" s="53">
        <v>291264</v>
      </c>
      <c r="M193" s="53">
        <v>0</v>
      </c>
      <c r="N193" s="52" t="s">
        <v>23</v>
      </c>
      <c r="O193" s="52" t="s">
        <v>22</v>
      </c>
      <c r="P193" s="52" t="s">
        <v>18</v>
      </c>
    </row>
    <row r="194" spans="1:16" ht="15" customHeight="1" x14ac:dyDescent="0.35">
      <c r="A194" s="50" t="s">
        <v>400</v>
      </c>
      <c r="B194" s="50" t="s">
        <v>401</v>
      </c>
      <c r="C194" s="50" t="s">
        <v>38</v>
      </c>
      <c r="D194" s="51">
        <v>0</v>
      </c>
      <c r="E194" s="51">
        <v>109995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109995</v>
      </c>
      <c r="M194" s="51">
        <v>0</v>
      </c>
      <c r="N194" s="50" t="s">
        <v>29</v>
      </c>
      <c r="O194" s="50" t="s">
        <v>18</v>
      </c>
      <c r="P194" s="50" t="s">
        <v>16</v>
      </c>
    </row>
    <row r="195" spans="1:16" ht="15" customHeight="1" x14ac:dyDescent="0.35">
      <c r="A195" s="52" t="s">
        <v>402</v>
      </c>
      <c r="B195" s="52" t="s">
        <v>403</v>
      </c>
      <c r="C195" s="52" t="s">
        <v>38</v>
      </c>
      <c r="D195" s="53">
        <v>0</v>
      </c>
      <c r="E195" s="53">
        <v>0</v>
      </c>
      <c r="F195" s="53">
        <v>0</v>
      </c>
      <c r="G195" s="53">
        <v>139140</v>
      </c>
      <c r="H195" s="53">
        <v>0</v>
      </c>
      <c r="I195" s="53">
        <v>0</v>
      </c>
      <c r="J195" s="53">
        <v>0</v>
      </c>
      <c r="K195" s="53">
        <v>0</v>
      </c>
      <c r="L195" s="53">
        <v>139140</v>
      </c>
      <c r="M195" s="53">
        <v>0</v>
      </c>
      <c r="N195" s="52" t="s">
        <v>23</v>
      </c>
      <c r="O195" s="52" t="s">
        <v>18</v>
      </c>
      <c r="P195" s="52" t="s">
        <v>18</v>
      </c>
    </row>
    <row r="196" spans="1:16" ht="15" customHeight="1" x14ac:dyDescent="0.35">
      <c r="A196" s="50" t="s">
        <v>404</v>
      </c>
      <c r="B196" s="50" t="s">
        <v>405</v>
      </c>
      <c r="C196" s="50" t="s">
        <v>36</v>
      </c>
      <c r="D196" s="51">
        <v>0</v>
      </c>
      <c r="E196" s="51">
        <v>114836</v>
      </c>
      <c r="F196" s="51">
        <v>145819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260655</v>
      </c>
      <c r="M196" s="51">
        <v>-59</v>
      </c>
      <c r="N196" s="50" t="s">
        <v>23</v>
      </c>
      <c r="O196" s="50" t="s">
        <v>18</v>
      </c>
      <c r="P196" s="50" t="s">
        <v>16</v>
      </c>
    </row>
    <row r="197" spans="1:16" ht="15" customHeight="1" x14ac:dyDescent="0.35">
      <c r="A197" s="52" t="s">
        <v>406</v>
      </c>
      <c r="B197" s="52" t="s">
        <v>407</v>
      </c>
      <c r="C197" s="52" t="s">
        <v>36</v>
      </c>
      <c r="D197" s="53">
        <v>0</v>
      </c>
      <c r="E197" s="53">
        <v>2795099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2795099</v>
      </c>
      <c r="M197" s="53">
        <v>0</v>
      </c>
      <c r="N197" s="52" t="s">
        <v>23</v>
      </c>
      <c r="O197" s="52" t="s">
        <v>18</v>
      </c>
      <c r="P197" s="52" t="s">
        <v>16</v>
      </c>
    </row>
    <row r="198" spans="1:16" ht="15" customHeight="1" x14ac:dyDescent="0.35">
      <c r="A198" s="50" t="s">
        <v>408</v>
      </c>
      <c r="B198" s="50" t="s">
        <v>409</v>
      </c>
      <c r="C198" s="50" t="s">
        <v>36</v>
      </c>
      <c r="D198" s="51">
        <v>0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53750</v>
      </c>
      <c r="L198" s="51">
        <v>53750</v>
      </c>
      <c r="M198" s="51">
        <v>0</v>
      </c>
      <c r="N198" s="50" t="s">
        <v>23</v>
      </c>
      <c r="O198" s="50" t="s">
        <v>19</v>
      </c>
      <c r="P198" s="50" t="s">
        <v>19</v>
      </c>
    </row>
    <row r="199" spans="1:16" ht="15" customHeight="1" x14ac:dyDescent="0.35">
      <c r="A199" s="52" t="s">
        <v>410</v>
      </c>
      <c r="B199" s="52" t="s">
        <v>411</v>
      </c>
      <c r="C199" s="52" t="s">
        <v>36</v>
      </c>
      <c r="D199" s="53">
        <v>0</v>
      </c>
      <c r="E199" s="53">
        <v>0</v>
      </c>
      <c r="F199" s="53">
        <v>1285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1285</v>
      </c>
      <c r="M199" s="53">
        <v>0</v>
      </c>
      <c r="N199" s="52" t="s">
        <v>33</v>
      </c>
      <c r="O199" s="52" t="s">
        <v>19</v>
      </c>
      <c r="P199" s="50" t="s">
        <v>19</v>
      </c>
    </row>
    <row r="200" spans="1:16" ht="15" customHeight="1" x14ac:dyDescent="0.35">
      <c r="A200" s="50" t="s">
        <v>412</v>
      </c>
      <c r="B200" s="50" t="s">
        <v>413</v>
      </c>
      <c r="C200" s="50" t="s">
        <v>36</v>
      </c>
      <c r="D200" s="51">
        <v>0</v>
      </c>
      <c r="E200" s="51">
        <v>0</v>
      </c>
      <c r="F200" s="51">
        <v>0</v>
      </c>
      <c r="G200" s="51">
        <v>0</v>
      </c>
      <c r="H200" s="51">
        <v>147916</v>
      </c>
      <c r="I200" s="51">
        <v>0</v>
      </c>
      <c r="J200" s="51">
        <v>0</v>
      </c>
      <c r="K200" s="51">
        <v>0</v>
      </c>
      <c r="L200" s="51">
        <v>221875</v>
      </c>
      <c r="M200" s="51">
        <v>147917.4</v>
      </c>
      <c r="N200" s="50" t="s">
        <v>23</v>
      </c>
      <c r="O200" s="50" t="s">
        <v>18</v>
      </c>
      <c r="P200" s="50" t="s">
        <v>18</v>
      </c>
    </row>
    <row r="201" spans="1:16" ht="15" customHeight="1" x14ac:dyDescent="0.35">
      <c r="A201" s="52" t="s">
        <v>414</v>
      </c>
      <c r="B201" s="52" t="s">
        <v>415</v>
      </c>
      <c r="C201" s="52" t="s">
        <v>36</v>
      </c>
      <c r="D201" s="53">
        <v>0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344197</v>
      </c>
      <c r="M201" s="53">
        <v>0</v>
      </c>
      <c r="N201" s="52" t="s">
        <v>23</v>
      </c>
      <c r="O201" s="52" t="s">
        <v>19</v>
      </c>
      <c r="P201" s="50" t="s">
        <v>19</v>
      </c>
    </row>
    <row r="202" spans="1:16" ht="15" customHeight="1" x14ac:dyDescent="0.35">
      <c r="A202" s="50" t="s">
        <v>416</v>
      </c>
      <c r="B202" s="50" t="s">
        <v>417</v>
      </c>
      <c r="C202" s="50" t="s">
        <v>36</v>
      </c>
      <c r="D202" s="51">
        <v>0</v>
      </c>
      <c r="E202" s="51">
        <v>0</v>
      </c>
      <c r="F202" s="51">
        <v>0</v>
      </c>
      <c r="G202" s="51">
        <v>229993</v>
      </c>
      <c r="H202" s="51">
        <v>0</v>
      </c>
      <c r="I202" s="51">
        <v>0</v>
      </c>
      <c r="J202" s="51">
        <v>0</v>
      </c>
      <c r="K202" s="51">
        <v>0</v>
      </c>
      <c r="L202" s="51">
        <v>229993</v>
      </c>
      <c r="M202" s="51">
        <v>0</v>
      </c>
      <c r="N202" s="50" t="s">
        <v>26</v>
      </c>
      <c r="O202" s="50" t="s">
        <v>18</v>
      </c>
      <c r="P202" s="50" t="s">
        <v>18</v>
      </c>
    </row>
    <row r="203" spans="1:16" ht="15" customHeight="1" x14ac:dyDescent="0.35">
      <c r="A203" s="52" t="s">
        <v>418</v>
      </c>
      <c r="B203" s="52" t="s">
        <v>419</v>
      </c>
      <c r="C203" s="52" t="s">
        <v>36</v>
      </c>
      <c r="D203" s="53">
        <v>0</v>
      </c>
      <c r="E203" s="53">
        <v>0</v>
      </c>
      <c r="F203" s="53">
        <v>0</v>
      </c>
      <c r="G203" s="53">
        <v>0</v>
      </c>
      <c r="H203" s="53">
        <v>282165</v>
      </c>
      <c r="I203" s="53">
        <v>0</v>
      </c>
      <c r="J203" s="53">
        <v>0</v>
      </c>
      <c r="K203" s="53">
        <v>0</v>
      </c>
      <c r="L203" s="53">
        <v>282165</v>
      </c>
      <c r="M203" s="53">
        <v>0</v>
      </c>
      <c r="N203" s="52" t="s">
        <v>23</v>
      </c>
      <c r="O203" s="52" t="s">
        <v>18</v>
      </c>
      <c r="P203" s="52" t="s">
        <v>18</v>
      </c>
    </row>
    <row r="204" spans="1:16" ht="15" customHeight="1" x14ac:dyDescent="0.35">
      <c r="A204" s="50" t="s">
        <v>420</v>
      </c>
      <c r="B204" s="50" t="s">
        <v>421</v>
      </c>
      <c r="C204" s="50" t="s">
        <v>36</v>
      </c>
      <c r="D204" s="51">
        <v>0</v>
      </c>
      <c r="E204" s="51">
        <v>0</v>
      </c>
      <c r="F204" s="51">
        <v>7061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7061</v>
      </c>
      <c r="M204" s="51">
        <v>0</v>
      </c>
      <c r="N204" s="50" t="s">
        <v>23</v>
      </c>
      <c r="O204" s="50" t="s">
        <v>18</v>
      </c>
      <c r="P204" s="50" t="s">
        <v>18</v>
      </c>
    </row>
    <row r="205" spans="1:16" ht="15" customHeight="1" x14ac:dyDescent="0.35">
      <c r="A205" s="52" t="s">
        <v>422</v>
      </c>
      <c r="B205" s="52" t="s">
        <v>423</v>
      </c>
      <c r="C205" s="52" t="s">
        <v>38</v>
      </c>
      <c r="D205" s="53">
        <v>0</v>
      </c>
      <c r="E205" s="53">
        <v>0</v>
      </c>
      <c r="F205" s="53">
        <v>0</v>
      </c>
      <c r="G205" s="53">
        <v>572495</v>
      </c>
      <c r="H205" s="53">
        <v>0</v>
      </c>
      <c r="I205" s="53">
        <v>0</v>
      </c>
      <c r="J205" s="53">
        <v>0</v>
      </c>
      <c r="K205" s="53">
        <v>0</v>
      </c>
      <c r="L205" s="53">
        <v>572495</v>
      </c>
      <c r="M205" s="53">
        <v>0</v>
      </c>
      <c r="N205" s="52" t="s">
        <v>30</v>
      </c>
      <c r="O205" s="52" t="s">
        <v>19</v>
      </c>
      <c r="P205" s="50" t="s">
        <v>19</v>
      </c>
    </row>
    <row r="206" spans="1:16" ht="15" customHeight="1" x14ac:dyDescent="0.35">
      <c r="A206" s="50" t="s">
        <v>424</v>
      </c>
      <c r="B206" s="50" t="s">
        <v>425</v>
      </c>
      <c r="C206" s="50" t="s">
        <v>36</v>
      </c>
      <c r="D206" s="51">
        <v>0</v>
      </c>
      <c r="E206" s="51">
        <v>49041</v>
      </c>
      <c r="F206" s="51">
        <v>0</v>
      </c>
      <c r="G206" s="51">
        <v>0</v>
      </c>
      <c r="H206" s="51">
        <v>43670</v>
      </c>
      <c r="I206" s="51">
        <v>0</v>
      </c>
      <c r="J206" s="51">
        <v>0</v>
      </c>
      <c r="K206" s="51">
        <v>0</v>
      </c>
      <c r="L206" s="51">
        <v>92711</v>
      </c>
      <c r="M206" s="51">
        <v>0</v>
      </c>
      <c r="N206" s="50" t="s">
        <v>23</v>
      </c>
      <c r="O206" s="50" t="s">
        <v>18</v>
      </c>
      <c r="P206" s="50" t="s">
        <v>16</v>
      </c>
    </row>
    <row r="207" spans="1:16" ht="15" customHeight="1" x14ac:dyDescent="0.35">
      <c r="A207" s="52" t="s">
        <v>426</v>
      </c>
      <c r="B207" s="52" t="s">
        <v>427</v>
      </c>
      <c r="C207" s="52" t="s">
        <v>36</v>
      </c>
      <c r="D207" s="53">
        <v>0</v>
      </c>
      <c r="E207" s="53">
        <v>51634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51634</v>
      </c>
      <c r="M207" s="53">
        <v>0</v>
      </c>
      <c r="N207" s="52" t="s">
        <v>23</v>
      </c>
      <c r="O207" s="52" t="s">
        <v>18</v>
      </c>
      <c r="P207" s="52" t="s">
        <v>16</v>
      </c>
    </row>
    <row r="208" spans="1:16" ht="15" customHeight="1" x14ac:dyDescent="0.35">
      <c r="A208" s="50" t="s">
        <v>428</v>
      </c>
      <c r="B208" s="50" t="s">
        <v>429</v>
      </c>
      <c r="C208" s="50" t="s">
        <v>36</v>
      </c>
      <c r="D208" s="51">
        <v>201418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201418</v>
      </c>
      <c r="M208" s="51">
        <v>0</v>
      </c>
      <c r="N208" s="50" t="s">
        <v>23</v>
      </c>
      <c r="O208" s="50" t="s">
        <v>18</v>
      </c>
      <c r="P208" s="50" t="s">
        <v>16</v>
      </c>
    </row>
    <row r="209" spans="1:16" ht="15" customHeight="1" x14ac:dyDescent="0.35">
      <c r="A209" s="52" t="s">
        <v>430</v>
      </c>
      <c r="B209" s="52" t="s">
        <v>431</v>
      </c>
      <c r="C209" s="52" t="s">
        <v>36</v>
      </c>
      <c r="D209" s="53">
        <v>116462</v>
      </c>
      <c r="E209" s="53">
        <v>0</v>
      </c>
      <c r="F209" s="53">
        <v>0</v>
      </c>
      <c r="G209" s="53">
        <v>135100</v>
      </c>
      <c r="H209" s="53">
        <v>135100</v>
      </c>
      <c r="I209" s="53">
        <v>37607</v>
      </c>
      <c r="J209" s="53">
        <v>0</v>
      </c>
      <c r="K209" s="53">
        <v>0</v>
      </c>
      <c r="L209" s="53">
        <v>424269</v>
      </c>
      <c r="M209" s="53">
        <v>0</v>
      </c>
      <c r="N209" s="52" t="s">
        <v>23</v>
      </c>
      <c r="O209" s="52" t="s">
        <v>22</v>
      </c>
      <c r="P209" s="52" t="s">
        <v>16</v>
      </c>
    </row>
    <row r="210" spans="1:16" ht="15" customHeight="1" x14ac:dyDescent="0.35">
      <c r="A210" s="50" t="s">
        <v>432</v>
      </c>
      <c r="B210" s="50" t="s">
        <v>433</v>
      </c>
      <c r="C210" s="50" t="s">
        <v>36</v>
      </c>
      <c r="D210" s="51">
        <v>290466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290466</v>
      </c>
      <c r="M210" s="51">
        <v>283303</v>
      </c>
      <c r="N210" s="50" t="s">
        <v>23</v>
      </c>
      <c r="O210" s="50" t="s">
        <v>18</v>
      </c>
      <c r="P210" s="50" t="s">
        <v>16</v>
      </c>
    </row>
    <row r="211" spans="1:16" ht="15" customHeight="1" x14ac:dyDescent="0.35">
      <c r="A211" s="52" t="s">
        <v>434</v>
      </c>
      <c r="B211" s="52" t="s">
        <v>435</v>
      </c>
      <c r="C211" s="52" t="s">
        <v>36</v>
      </c>
      <c r="D211" s="53">
        <v>0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35361</v>
      </c>
      <c r="M211" s="53">
        <v>0</v>
      </c>
      <c r="N211" s="52" t="s">
        <v>23</v>
      </c>
      <c r="O211" s="52" t="s">
        <v>18</v>
      </c>
      <c r="P211" s="52" t="s">
        <v>18</v>
      </c>
    </row>
    <row r="212" spans="1:16" ht="15" customHeight="1" x14ac:dyDescent="0.35">
      <c r="A212" s="50" t="s">
        <v>436</v>
      </c>
      <c r="B212" s="50" t="s">
        <v>437</v>
      </c>
      <c r="C212" s="50" t="s">
        <v>36</v>
      </c>
      <c r="D212" s="51">
        <v>0</v>
      </c>
      <c r="E212" s="51">
        <v>0</v>
      </c>
      <c r="F212" s="51">
        <v>0</v>
      </c>
      <c r="G212" s="51">
        <v>25273</v>
      </c>
      <c r="H212" s="51">
        <v>0</v>
      </c>
      <c r="I212" s="51">
        <v>0</v>
      </c>
      <c r="J212" s="51">
        <v>0</v>
      </c>
      <c r="K212" s="51">
        <v>0</v>
      </c>
      <c r="L212" s="51">
        <v>25273</v>
      </c>
      <c r="M212" s="51">
        <v>0</v>
      </c>
      <c r="N212" s="50" t="s">
        <v>23</v>
      </c>
      <c r="O212" s="50" t="s">
        <v>18</v>
      </c>
      <c r="P212" s="50" t="s">
        <v>18</v>
      </c>
    </row>
    <row r="213" spans="1:16" ht="15" customHeight="1" x14ac:dyDescent="0.35">
      <c r="A213" s="52" t="s">
        <v>438</v>
      </c>
      <c r="B213" s="52" t="s">
        <v>439</v>
      </c>
      <c r="C213" s="52" t="s">
        <v>36</v>
      </c>
      <c r="D213" s="53">
        <v>1111335</v>
      </c>
      <c r="E213" s="53">
        <v>0</v>
      </c>
      <c r="F213" s="53">
        <v>0</v>
      </c>
      <c r="G213" s="53">
        <v>2493071</v>
      </c>
      <c r="H213" s="53">
        <v>4703280</v>
      </c>
      <c r="I213" s="53">
        <v>0</v>
      </c>
      <c r="J213" s="53">
        <v>0</v>
      </c>
      <c r="K213" s="53">
        <v>0</v>
      </c>
      <c r="L213" s="53">
        <v>8307686</v>
      </c>
      <c r="M213" s="53">
        <v>0</v>
      </c>
      <c r="N213" s="52" t="s">
        <v>26</v>
      </c>
      <c r="O213" s="52" t="s">
        <v>25</v>
      </c>
      <c r="P213" s="52" t="s">
        <v>16</v>
      </c>
    </row>
    <row r="214" spans="1:16" ht="15" customHeight="1" x14ac:dyDescent="0.35">
      <c r="A214" s="50" t="s">
        <v>440</v>
      </c>
      <c r="B214" s="50" t="s">
        <v>441</v>
      </c>
      <c r="C214" s="50" t="s">
        <v>36</v>
      </c>
      <c r="D214" s="51">
        <v>0</v>
      </c>
      <c r="E214" s="51">
        <v>0</v>
      </c>
      <c r="F214" s="51">
        <v>181179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226474</v>
      </c>
      <c r="M214" s="51">
        <v>0</v>
      </c>
      <c r="N214" s="50" t="s">
        <v>23</v>
      </c>
      <c r="O214" s="50" t="s">
        <v>27</v>
      </c>
      <c r="P214" s="50" t="s">
        <v>18</v>
      </c>
    </row>
    <row r="215" spans="1:16" ht="15" customHeight="1" x14ac:dyDescent="0.35">
      <c r="A215" s="52" t="s">
        <v>442</v>
      </c>
      <c r="B215" s="52" t="s">
        <v>443</v>
      </c>
      <c r="C215" s="52" t="s">
        <v>36</v>
      </c>
      <c r="D215" s="53">
        <v>0</v>
      </c>
      <c r="E215" s="53">
        <v>0</v>
      </c>
      <c r="F215" s="53">
        <v>0</v>
      </c>
      <c r="G215" s="53">
        <v>8572</v>
      </c>
      <c r="H215" s="53">
        <v>0</v>
      </c>
      <c r="I215" s="53">
        <v>0</v>
      </c>
      <c r="J215" s="53">
        <v>0</v>
      </c>
      <c r="K215" s="53">
        <v>0</v>
      </c>
      <c r="L215" s="53">
        <v>8572</v>
      </c>
      <c r="M215" s="53">
        <v>0</v>
      </c>
      <c r="N215" s="52" t="s">
        <v>33</v>
      </c>
      <c r="O215" s="52" t="s">
        <v>19</v>
      </c>
      <c r="P215" s="50" t="s">
        <v>19</v>
      </c>
    </row>
    <row r="216" spans="1:16" ht="15" customHeight="1" x14ac:dyDescent="0.35">
      <c r="A216" s="50" t="s">
        <v>444</v>
      </c>
      <c r="B216" s="50" t="s">
        <v>445</v>
      </c>
      <c r="C216" s="50" t="s">
        <v>36</v>
      </c>
      <c r="D216" s="51">
        <v>0</v>
      </c>
      <c r="E216" s="51">
        <v>0</v>
      </c>
      <c r="F216" s="51">
        <v>0</v>
      </c>
      <c r="G216" s="51">
        <v>0</v>
      </c>
      <c r="H216" s="51">
        <v>139953</v>
      </c>
      <c r="I216" s="51">
        <v>0</v>
      </c>
      <c r="J216" s="51">
        <v>0</v>
      </c>
      <c r="K216" s="51">
        <v>0</v>
      </c>
      <c r="L216" s="51">
        <v>139953</v>
      </c>
      <c r="M216" s="51">
        <v>0</v>
      </c>
      <c r="N216" s="50" t="s">
        <v>23</v>
      </c>
      <c r="O216" s="50" t="s">
        <v>18</v>
      </c>
      <c r="P216" s="50" t="s">
        <v>18</v>
      </c>
    </row>
    <row r="217" spans="1:16" ht="15" customHeight="1" x14ac:dyDescent="0.35">
      <c r="A217" s="52" t="s">
        <v>446</v>
      </c>
      <c r="B217" s="52" t="s">
        <v>447</v>
      </c>
      <c r="C217" s="52" t="s">
        <v>36</v>
      </c>
      <c r="D217" s="53">
        <v>0</v>
      </c>
      <c r="E217" s="53">
        <v>430276</v>
      </c>
      <c r="F217" s="53">
        <v>0</v>
      </c>
      <c r="G217" s="53">
        <v>0</v>
      </c>
      <c r="H217" s="53">
        <v>191247</v>
      </c>
      <c r="I217" s="53">
        <v>0</v>
      </c>
      <c r="J217" s="53">
        <v>0</v>
      </c>
      <c r="K217" s="53">
        <v>0</v>
      </c>
      <c r="L217" s="53">
        <v>621523</v>
      </c>
      <c r="M217" s="53">
        <v>0</v>
      </c>
      <c r="N217" s="52" t="s">
        <v>23</v>
      </c>
      <c r="O217" s="52" t="s">
        <v>22</v>
      </c>
      <c r="P217" s="52" t="s">
        <v>16</v>
      </c>
    </row>
    <row r="218" spans="1:16" ht="15" customHeight="1" x14ac:dyDescent="0.35">
      <c r="A218" s="50" t="s">
        <v>448</v>
      </c>
      <c r="B218" s="50" t="s">
        <v>449</v>
      </c>
      <c r="C218" s="50" t="s">
        <v>36</v>
      </c>
      <c r="D218" s="51">
        <v>0</v>
      </c>
      <c r="E218" s="51">
        <v>0</v>
      </c>
      <c r="F218" s="51">
        <v>23105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108392</v>
      </c>
      <c r="M218" s="51">
        <v>0</v>
      </c>
      <c r="N218" s="50" t="s">
        <v>23</v>
      </c>
      <c r="O218" s="50" t="s">
        <v>18</v>
      </c>
      <c r="P218" s="50" t="s">
        <v>18</v>
      </c>
    </row>
    <row r="219" spans="1:16" ht="15" customHeight="1" x14ac:dyDescent="0.35">
      <c r="A219" s="52" t="s">
        <v>450</v>
      </c>
      <c r="B219" s="52" t="s">
        <v>451</v>
      </c>
      <c r="C219" s="52" t="s">
        <v>36</v>
      </c>
      <c r="D219" s="53">
        <v>0</v>
      </c>
      <c r="E219" s="53">
        <v>0</v>
      </c>
      <c r="F219" s="53">
        <v>5465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5465</v>
      </c>
      <c r="M219" s="53">
        <v>0</v>
      </c>
      <c r="N219" s="52" t="s">
        <v>33</v>
      </c>
      <c r="O219" s="52" t="s">
        <v>19</v>
      </c>
      <c r="P219" s="50" t="s">
        <v>19</v>
      </c>
    </row>
    <row r="220" spans="1:16" ht="15" customHeight="1" x14ac:dyDescent="0.35">
      <c r="A220" s="50" t="s">
        <v>452</v>
      </c>
      <c r="B220" s="50" t="s">
        <v>453</v>
      </c>
      <c r="C220" s="50" t="s">
        <v>36</v>
      </c>
      <c r="D220" s="51">
        <v>0</v>
      </c>
      <c r="E220" s="51">
        <v>0</v>
      </c>
      <c r="F220" s="51">
        <v>0</v>
      </c>
      <c r="G220" s="51">
        <v>0</v>
      </c>
      <c r="H220" s="51">
        <v>223645</v>
      </c>
      <c r="I220" s="51">
        <v>0</v>
      </c>
      <c r="J220" s="51">
        <v>0</v>
      </c>
      <c r="K220" s="51">
        <v>0</v>
      </c>
      <c r="L220" s="51">
        <v>223645</v>
      </c>
      <c r="M220" s="51">
        <v>0</v>
      </c>
      <c r="N220" s="50" t="s">
        <v>23</v>
      </c>
      <c r="O220" s="50" t="s">
        <v>27</v>
      </c>
      <c r="P220" s="50" t="s">
        <v>18</v>
      </c>
    </row>
    <row r="221" spans="1:16" ht="15" customHeight="1" x14ac:dyDescent="0.35">
      <c r="A221" s="52" t="s">
        <v>454</v>
      </c>
      <c r="B221" s="52" t="s">
        <v>455</v>
      </c>
      <c r="C221" s="52" t="s">
        <v>36</v>
      </c>
      <c r="D221" s="53">
        <v>0</v>
      </c>
      <c r="E221" s="53">
        <v>192904</v>
      </c>
      <c r="F221" s="53">
        <v>0</v>
      </c>
      <c r="G221" s="53">
        <v>0</v>
      </c>
      <c r="H221" s="53">
        <v>0</v>
      </c>
      <c r="I221" s="53">
        <v>0</v>
      </c>
      <c r="J221" s="53">
        <v>0</v>
      </c>
      <c r="K221" s="53">
        <v>0</v>
      </c>
      <c r="L221" s="53">
        <v>192904</v>
      </c>
      <c r="M221" s="53">
        <v>0</v>
      </c>
      <c r="N221" s="52" t="s">
        <v>23</v>
      </c>
      <c r="O221" s="52" t="s">
        <v>27</v>
      </c>
      <c r="P221" s="52" t="s">
        <v>16</v>
      </c>
    </row>
    <row r="222" spans="1:16" ht="15" customHeight="1" x14ac:dyDescent="0.35">
      <c r="A222" s="50" t="s">
        <v>456</v>
      </c>
      <c r="B222" s="50" t="s">
        <v>457</v>
      </c>
      <c r="C222" s="50" t="s">
        <v>36</v>
      </c>
      <c r="D222" s="51">
        <v>0</v>
      </c>
      <c r="E222" s="51">
        <v>0</v>
      </c>
      <c r="F222" s="51">
        <v>588711</v>
      </c>
      <c r="G222" s="51">
        <v>837100</v>
      </c>
      <c r="H222" s="51">
        <v>0</v>
      </c>
      <c r="I222" s="51">
        <v>0</v>
      </c>
      <c r="J222" s="51">
        <v>0</v>
      </c>
      <c r="K222" s="51">
        <v>0</v>
      </c>
      <c r="L222" s="51">
        <v>1425811</v>
      </c>
      <c r="M222" s="51">
        <v>0</v>
      </c>
      <c r="N222" s="50" t="s">
        <v>26</v>
      </c>
      <c r="O222" s="50" t="s">
        <v>27</v>
      </c>
      <c r="P222" s="50" t="s">
        <v>18</v>
      </c>
    </row>
    <row r="223" spans="1:16" ht="15" customHeight="1" x14ac:dyDescent="0.35">
      <c r="A223" s="52" t="s">
        <v>458</v>
      </c>
      <c r="B223" s="52" t="s">
        <v>459</v>
      </c>
      <c r="C223" s="52" t="s">
        <v>36</v>
      </c>
      <c r="D223" s="53">
        <v>0</v>
      </c>
      <c r="E223" s="53">
        <v>285915</v>
      </c>
      <c r="F223" s="53">
        <v>285915</v>
      </c>
      <c r="G223" s="53">
        <v>0</v>
      </c>
      <c r="H223" s="53">
        <v>664803</v>
      </c>
      <c r="I223" s="53">
        <v>0</v>
      </c>
      <c r="J223" s="53">
        <v>0</v>
      </c>
      <c r="K223" s="53">
        <v>0</v>
      </c>
      <c r="L223" s="53">
        <v>1236633</v>
      </c>
      <c r="M223" s="53">
        <v>0</v>
      </c>
      <c r="N223" s="52" t="s">
        <v>23</v>
      </c>
      <c r="O223" s="52" t="s">
        <v>19</v>
      </c>
      <c r="P223" s="50" t="s">
        <v>19</v>
      </c>
    </row>
    <row r="224" spans="1:16" ht="15" customHeight="1" x14ac:dyDescent="0.35">
      <c r="A224" s="50" t="s">
        <v>460</v>
      </c>
      <c r="B224" s="50" t="s">
        <v>461</v>
      </c>
      <c r="C224" s="50" t="s">
        <v>36</v>
      </c>
      <c r="D224" s="51">
        <v>133416</v>
      </c>
      <c r="E224" s="51">
        <v>0</v>
      </c>
      <c r="F224" s="51">
        <v>0</v>
      </c>
      <c r="G224" s="51">
        <v>0</v>
      </c>
      <c r="H224" s="51">
        <v>266833</v>
      </c>
      <c r="I224" s="51">
        <v>0</v>
      </c>
      <c r="J224" s="51">
        <v>0</v>
      </c>
      <c r="K224" s="51">
        <v>0</v>
      </c>
      <c r="L224" s="51">
        <v>400249</v>
      </c>
      <c r="M224" s="51">
        <v>0</v>
      </c>
      <c r="N224" s="50" t="s">
        <v>23</v>
      </c>
      <c r="O224" s="50" t="s">
        <v>27</v>
      </c>
      <c r="P224" s="50" t="s">
        <v>16</v>
      </c>
    </row>
    <row r="225" spans="1:16" ht="15" customHeight="1" x14ac:dyDescent="0.35">
      <c r="A225" s="52" t="s">
        <v>462</v>
      </c>
      <c r="B225" s="52" t="s">
        <v>463</v>
      </c>
      <c r="C225" s="52" t="s">
        <v>36</v>
      </c>
      <c r="D225" s="53">
        <v>495216</v>
      </c>
      <c r="E225" s="53">
        <v>520322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1015538</v>
      </c>
      <c r="M225" s="53">
        <v>0</v>
      </c>
      <c r="N225" s="52" t="s">
        <v>23</v>
      </c>
      <c r="O225" s="52" t="s">
        <v>25</v>
      </c>
      <c r="P225" s="52" t="s">
        <v>16</v>
      </c>
    </row>
    <row r="226" spans="1:16" ht="15" customHeight="1" x14ac:dyDescent="0.35">
      <c r="A226" s="50" t="s">
        <v>464</v>
      </c>
      <c r="B226" s="50" t="s">
        <v>465</v>
      </c>
      <c r="C226" s="50" t="s">
        <v>36</v>
      </c>
      <c r="D226" s="51">
        <v>0</v>
      </c>
      <c r="E226" s="51">
        <v>311723</v>
      </c>
      <c r="F226" s="51">
        <v>0</v>
      </c>
      <c r="G226" s="51">
        <v>0</v>
      </c>
      <c r="H226" s="51">
        <v>263992</v>
      </c>
      <c r="I226" s="51">
        <v>0</v>
      </c>
      <c r="J226" s="51">
        <v>0</v>
      </c>
      <c r="K226" s="51">
        <v>0</v>
      </c>
      <c r="L226" s="51">
        <v>575715</v>
      </c>
      <c r="M226" s="51">
        <v>575715</v>
      </c>
      <c r="N226" s="50" t="s">
        <v>23</v>
      </c>
      <c r="O226" s="50" t="s">
        <v>22</v>
      </c>
      <c r="P226" s="50" t="s">
        <v>16</v>
      </c>
    </row>
    <row r="227" spans="1:16" ht="15" customHeight="1" x14ac:dyDescent="0.35">
      <c r="A227" s="52" t="s">
        <v>466</v>
      </c>
      <c r="B227" s="52" t="s">
        <v>467</v>
      </c>
      <c r="C227" s="52" t="s">
        <v>36</v>
      </c>
      <c r="D227" s="53">
        <v>0</v>
      </c>
      <c r="E227" s="53">
        <v>81903</v>
      </c>
      <c r="F227" s="53">
        <v>8634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90537</v>
      </c>
      <c r="M227" s="53">
        <v>81903</v>
      </c>
      <c r="N227" s="52" t="s">
        <v>23</v>
      </c>
      <c r="O227" s="52" t="s">
        <v>18</v>
      </c>
      <c r="P227" s="52" t="s">
        <v>16</v>
      </c>
    </row>
    <row r="228" spans="1:16" ht="15" customHeight="1" x14ac:dyDescent="0.35">
      <c r="A228" s="50" t="s">
        <v>468</v>
      </c>
      <c r="B228" s="50" t="s">
        <v>469</v>
      </c>
      <c r="C228" s="50" t="s">
        <v>36</v>
      </c>
      <c r="D228" s="51">
        <v>270473</v>
      </c>
      <c r="E228" s="51">
        <v>0</v>
      </c>
      <c r="F228" s="51">
        <v>0</v>
      </c>
      <c r="G228" s="51">
        <v>28148</v>
      </c>
      <c r="H228" s="51">
        <v>0</v>
      </c>
      <c r="I228" s="51">
        <v>0</v>
      </c>
      <c r="J228" s="51">
        <v>0</v>
      </c>
      <c r="K228" s="51">
        <v>0</v>
      </c>
      <c r="L228" s="51">
        <v>298621</v>
      </c>
      <c r="M228" s="51">
        <v>0</v>
      </c>
      <c r="N228" s="50" t="s">
        <v>26</v>
      </c>
      <c r="O228" s="50" t="s">
        <v>18</v>
      </c>
      <c r="P228" s="50" t="s">
        <v>16</v>
      </c>
    </row>
    <row r="229" spans="1:16" ht="15" customHeight="1" x14ac:dyDescent="0.35">
      <c r="A229" s="52" t="s">
        <v>470</v>
      </c>
      <c r="B229" s="52" t="s">
        <v>471</v>
      </c>
      <c r="C229" s="52" t="s">
        <v>36</v>
      </c>
      <c r="D229" s="53">
        <v>0</v>
      </c>
      <c r="E229" s="53">
        <v>1570011</v>
      </c>
      <c r="F229" s="53">
        <v>0</v>
      </c>
      <c r="G229" s="53">
        <v>0</v>
      </c>
      <c r="H229" s="53">
        <v>102518</v>
      </c>
      <c r="I229" s="53">
        <v>0</v>
      </c>
      <c r="J229" s="53">
        <v>0</v>
      </c>
      <c r="K229" s="53">
        <v>0</v>
      </c>
      <c r="L229" s="53">
        <v>1672529</v>
      </c>
      <c r="M229" s="53">
        <v>0</v>
      </c>
      <c r="N229" s="52" t="s">
        <v>30</v>
      </c>
      <c r="O229" s="52" t="s">
        <v>22</v>
      </c>
      <c r="P229" s="52" t="s">
        <v>16</v>
      </c>
    </row>
    <row r="230" spans="1:16" ht="15" customHeight="1" x14ac:dyDescent="0.35">
      <c r="A230" s="50" t="s">
        <v>472</v>
      </c>
      <c r="B230" s="50" t="s">
        <v>473</v>
      </c>
      <c r="C230" s="50" t="s">
        <v>36</v>
      </c>
      <c r="D230" s="51">
        <v>218453</v>
      </c>
      <c r="E230" s="51">
        <v>0</v>
      </c>
      <c r="F230" s="51">
        <v>0</v>
      </c>
      <c r="G230" s="51">
        <v>290667</v>
      </c>
      <c r="H230" s="51">
        <v>0</v>
      </c>
      <c r="I230" s="51">
        <v>0</v>
      </c>
      <c r="J230" s="51">
        <v>0</v>
      </c>
      <c r="K230" s="51">
        <v>0</v>
      </c>
      <c r="L230" s="51">
        <v>509120</v>
      </c>
      <c r="M230" s="51">
        <v>0</v>
      </c>
      <c r="N230" s="50" t="s">
        <v>26</v>
      </c>
      <c r="O230" s="50" t="s">
        <v>27</v>
      </c>
      <c r="P230" s="50" t="s">
        <v>16</v>
      </c>
    </row>
    <row r="231" spans="1:16" ht="15" customHeight="1" x14ac:dyDescent="0.35">
      <c r="A231" s="52" t="s">
        <v>474</v>
      </c>
      <c r="B231" s="52" t="s">
        <v>475</v>
      </c>
      <c r="C231" s="52" t="s">
        <v>36</v>
      </c>
      <c r="D231" s="53">
        <v>197129</v>
      </c>
      <c r="E231" s="53">
        <v>0</v>
      </c>
      <c r="F231" s="53">
        <v>152117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349246</v>
      </c>
      <c r="M231" s="53">
        <v>0</v>
      </c>
      <c r="N231" s="52" t="s">
        <v>26</v>
      </c>
      <c r="O231" s="52" t="s">
        <v>22</v>
      </c>
      <c r="P231" s="52" t="s">
        <v>16</v>
      </c>
    </row>
    <row r="232" spans="1:16" ht="15" customHeight="1" x14ac:dyDescent="0.35">
      <c r="A232" s="50" t="s">
        <v>476</v>
      </c>
      <c r="B232" s="50" t="s">
        <v>477</v>
      </c>
      <c r="C232" s="50" t="s">
        <v>36</v>
      </c>
      <c r="D232" s="51">
        <v>16768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16768</v>
      </c>
      <c r="M232" s="51">
        <v>0</v>
      </c>
      <c r="N232" s="50" t="s">
        <v>23</v>
      </c>
      <c r="O232" s="50" t="s">
        <v>18</v>
      </c>
      <c r="P232" s="50" t="s">
        <v>16</v>
      </c>
    </row>
    <row r="233" spans="1:16" ht="15" customHeight="1" x14ac:dyDescent="0.35">
      <c r="A233" s="52" t="s">
        <v>478</v>
      </c>
      <c r="B233" s="52" t="s">
        <v>479</v>
      </c>
      <c r="C233" s="52" t="s">
        <v>36</v>
      </c>
      <c r="D233" s="53">
        <v>0</v>
      </c>
      <c r="E233" s="53">
        <v>0</v>
      </c>
      <c r="F233" s="53">
        <v>265313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265313</v>
      </c>
      <c r="M233" s="53">
        <v>0</v>
      </c>
      <c r="N233" s="52" t="s">
        <v>26</v>
      </c>
      <c r="O233" s="52" t="s">
        <v>18</v>
      </c>
      <c r="P233" s="52" t="s">
        <v>18</v>
      </c>
    </row>
    <row r="234" spans="1:16" ht="15" customHeight="1" x14ac:dyDescent="0.35">
      <c r="A234" s="50" t="s">
        <v>480</v>
      </c>
      <c r="B234" s="50" t="s">
        <v>481</v>
      </c>
      <c r="C234" s="50" t="s">
        <v>36</v>
      </c>
      <c r="D234" s="51">
        <v>0</v>
      </c>
      <c r="E234" s="51">
        <v>0</v>
      </c>
      <c r="F234" s="51">
        <v>0</v>
      </c>
      <c r="G234" s="51">
        <v>0</v>
      </c>
      <c r="H234" s="51">
        <v>39246</v>
      </c>
      <c r="I234" s="51">
        <v>39246</v>
      </c>
      <c r="J234" s="51">
        <v>0</v>
      </c>
      <c r="K234" s="51">
        <v>0</v>
      </c>
      <c r="L234" s="51">
        <v>78492</v>
      </c>
      <c r="M234" s="51">
        <v>0</v>
      </c>
      <c r="N234" s="50" t="s">
        <v>23</v>
      </c>
      <c r="O234" s="50" t="s">
        <v>18</v>
      </c>
      <c r="P234" s="50" t="s">
        <v>18</v>
      </c>
    </row>
    <row r="235" spans="1:16" ht="15" customHeight="1" x14ac:dyDescent="0.35">
      <c r="A235" s="52" t="s">
        <v>482</v>
      </c>
      <c r="B235" s="52" t="s">
        <v>483</v>
      </c>
      <c r="C235" s="52" t="s">
        <v>36</v>
      </c>
      <c r="D235" s="53">
        <v>370260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370260</v>
      </c>
      <c r="M235" s="53">
        <v>0</v>
      </c>
      <c r="N235" s="52" t="s">
        <v>30</v>
      </c>
      <c r="O235" s="52" t="s">
        <v>18</v>
      </c>
      <c r="P235" s="52" t="s">
        <v>16</v>
      </c>
    </row>
    <row r="236" spans="1:16" ht="15" customHeight="1" x14ac:dyDescent="0.35">
      <c r="A236" s="50" t="s">
        <v>484</v>
      </c>
      <c r="B236" s="50" t="s">
        <v>485</v>
      </c>
      <c r="C236" s="50" t="s">
        <v>36</v>
      </c>
      <c r="D236" s="51">
        <v>0</v>
      </c>
      <c r="E236" s="51">
        <v>0</v>
      </c>
      <c r="F236" s="51">
        <v>252418</v>
      </c>
      <c r="G236" s="51">
        <v>99990</v>
      </c>
      <c r="H236" s="51">
        <v>0</v>
      </c>
      <c r="I236" s="51">
        <v>0</v>
      </c>
      <c r="J236" s="51">
        <v>0</v>
      </c>
      <c r="K236" s="51">
        <v>0</v>
      </c>
      <c r="L236" s="51">
        <v>352408</v>
      </c>
      <c r="M236" s="51">
        <v>0</v>
      </c>
      <c r="N236" s="50" t="s">
        <v>23</v>
      </c>
      <c r="O236" s="50" t="s">
        <v>19</v>
      </c>
      <c r="P236" s="50" t="s">
        <v>19</v>
      </c>
    </row>
    <row r="237" spans="1:16" ht="15" customHeight="1" x14ac:dyDescent="0.35">
      <c r="A237" s="52" t="s">
        <v>486</v>
      </c>
      <c r="B237" s="52" t="s">
        <v>487</v>
      </c>
      <c r="C237" s="52" t="s">
        <v>36</v>
      </c>
      <c r="D237" s="53">
        <v>0</v>
      </c>
      <c r="E237" s="53">
        <v>401490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401490</v>
      </c>
      <c r="M237" s="53">
        <v>0</v>
      </c>
      <c r="N237" s="52" t="s">
        <v>30</v>
      </c>
      <c r="O237" s="52" t="s">
        <v>18</v>
      </c>
      <c r="P237" s="52" t="s">
        <v>16</v>
      </c>
    </row>
    <row r="238" spans="1:16" ht="15" customHeight="1" x14ac:dyDescent="0.35">
      <c r="A238" s="50" t="s">
        <v>488</v>
      </c>
      <c r="B238" s="50" t="s">
        <v>489</v>
      </c>
      <c r="C238" s="50" t="s">
        <v>36</v>
      </c>
      <c r="D238" s="51">
        <v>0</v>
      </c>
      <c r="E238" s="51">
        <v>272689</v>
      </c>
      <c r="F238" s="51">
        <v>0</v>
      </c>
      <c r="G238" s="51">
        <v>1536136</v>
      </c>
      <c r="H238" s="51">
        <v>0</v>
      </c>
      <c r="I238" s="51">
        <v>0</v>
      </c>
      <c r="J238" s="51">
        <v>0</v>
      </c>
      <c r="K238" s="51">
        <v>0</v>
      </c>
      <c r="L238" s="51">
        <v>1808825</v>
      </c>
      <c r="M238" s="51">
        <v>0</v>
      </c>
      <c r="N238" s="50" t="s">
        <v>23</v>
      </c>
      <c r="O238" s="50" t="s">
        <v>27</v>
      </c>
      <c r="P238" s="50" t="s">
        <v>16</v>
      </c>
    </row>
    <row r="239" spans="1:16" ht="15" customHeight="1" x14ac:dyDescent="0.35">
      <c r="A239" s="52" t="s">
        <v>490</v>
      </c>
      <c r="B239" s="52" t="s">
        <v>491</v>
      </c>
      <c r="C239" s="52" t="s">
        <v>36</v>
      </c>
      <c r="D239" s="53">
        <v>0</v>
      </c>
      <c r="E239" s="53">
        <v>0</v>
      </c>
      <c r="F239" s="53">
        <v>0</v>
      </c>
      <c r="G239" s="53">
        <v>136160</v>
      </c>
      <c r="H239" s="53">
        <v>0</v>
      </c>
      <c r="I239" s="53">
        <v>0</v>
      </c>
      <c r="J239" s="53">
        <v>0</v>
      </c>
      <c r="K239" s="53">
        <v>0</v>
      </c>
      <c r="L239" s="53">
        <v>136160</v>
      </c>
      <c r="M239" s="53">
        <v>0</v>
      </c>
      <c r="N239" s="52" t="s">
        <v>30</v>
      </c>
      <c r="O239" s="52" t="s">
        <v>18</v>
      </c>
      <c r="P239" s="52" t="s">
        <v>18</v>
      </c>
    </row>
    <row r="240" spans="1:16" ht="15" customHeight="1" x14ac:dyDescent="0.35">
      <c r="A240" s="50" t="s">
        <v>492</v>
      </c>
      <c r="B240" s="50" t="s">
        <v>493</v>
      </c>
      <c r="C240" s="50" t="s">
        <v>36</v>
      </c>
      <c r="D240" s="51">
        <v>0</v>
      </c>
      <c r="E240" s="51">
        <v>0</v>
      </c>
      <c r="F240" s="51">
        <v>107768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107768</v>
      </c>
      <c r="M240" s="51">
        <v>0</v>
      </c>
      <c r="N240" s="50" t="s">
        <v>30</v>
      </c>
      <c r="O240" s="50" t="s">
        <v>18</v>
      </c>
      <c r="P240" s="50" t="s">
        <v>18</v>
      </c>
    </row>
    <row r="241" spans="1:16" ht="15" customHeight="1" x14ac:dyDescent="0.35">
      <c r="A241" s="52" t="s">
        <v>494</v>
      </c>
      <c r="B241" s="52" t="s">
        <v>495</v>
      </c>
      <c r="C241" s="52" t="s">
        <v>36</v>
      </c>
      <c r="D241" s="53">
        <v>0</v>
      </c>
      <c r="E241" s="53">
        <v>0</v>
      </c>
      <c r="F241" s="53">
        <v>150000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150000</v>
      </c>
      <c r="M241" s="53">
        <v>0</v>
      </c>
      <c r="N241" s="52" t="s">
        <v>30</v>
      </c>
      <c r="O241" s="52" t="s">
        <v>18</v>
      </c>
      <c r="P241" s="52" t="s">
        <v>18</v>
      </c>
    </row>
    <row r="242" spans="1:16" ht="15" customHeight="1" x14ac:dyDescent="0.35">
      <c r="A242" s="50" t="s">
        <v>496</v>
      </c>
      <c r="B242" s="50" t="s">
        <v>497</v>
      </c>
      <c r="C242" s="50" t="s">
        <v>36</v>
      </c>
      <c r="D242" s="51">
        <v>73854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73854</v>
      </c>
      <c r="M242" s="51">
        <v>0</v>
      </c>
      <c r="N242" s="50" t="s">
        <v>26</v>
      </c>
      <c r="O242" s="50" t="s">
        <v>27</v>
      </c>
      <c r="P242" s="50" t="s">
        <v>16</v>
      </c>
    </row>
    <row r="243" spans="1:16" ht="15" customHeight="1" x14ac:dyDescent="0.35">
      <c r="A243" s="52" t="s">
        <v>498</v>
      </c>
      <c r="B243" s="52" t="s">
        <v>499</v>
      </c>
      <c r="C243" s="52" t="s">
        <v>36</v>
      </c>
      <c r="D243" s="53">
        <v>252730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252730</v>
      </c>
      <c r="M243" s="53">
        <v>0</v>
      </c>
      <c r="N243" s="52" t="s">
        <v>30</v>
      </c>
      <c r="O243" s="52" t="s">
        <v>18</v>
      </c>
      <c r="P243" s="52" t="s">
        <v>16</v>
      </c>
    </row>
    <row r="244" spans="1:16" ht="15" customHeight="1" x14ac:dyDescent="0.35">
      <c r="A244" s="50" t="s">
        <v>500</v>
      </c>
      <c r="B244" s="50" t="s">
        <v>501</v>
      </c>
      <c r="C244" s="50" t="s">
        <v>36</v>
      </c>
      <c r="D244" s="51">
        <v>0</v>
      </c>
      <c r="E244" s="51">
        <v>0</v>
      </c>
      <c r="F244" s="51">
        <v>25001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25001</v>
      </c>
      <c r="M244" s="51">
        <v>0</v>
      </c>
      <c r="N244" s="50" t="s">
        <v>23</v>
      </c>
      <c r="O244" s="50" t="s">
        <v>18</v>
      </c>
      <c r="P244" s="50" t="s">
        <v>18</v>
      </c>
    </row>
    <row r="245" spans="1:16" ht="15" customHeight="1" x14ac:dyDescent="0.35">
      <c r="A245" s="52" t="s">
        <v>502</v>
      </c>
      <c r="B245" s="52" t="s">
        <v>503</v>
      </c>
      <c r="C245" s="52" t="s">
        <v>36</v>
      </c>
      <c r="D245" s="53">
        <v>1191625</v>
      </c>
      <c r="E245" s="53">
        <v>0</v>
      </c>
      <c r="F245" s="53">
        <v>0</v>
      </c>
      <c r="G245" s="53">
        <v>4766499</v>
      </c>
      <c r="H245" s="53">
        <v>0</v>
      </c>
      <c r="I245" s="53">
        <v>0</v>
      </c>
      <c r="J245" s="53">
        <v>0</v>
      </c>
      <c r="K245" s="53">
        <v>0</v>
      </c>
      <c r="L245" s="53">
        <v>5958124</v>
      </c>
      <c r="M245" s="53">
        <v>5903010</v>
      </c>
      <c r="N245" s="52" t="s">
        <v>23</v>
      </c>
      <c r="O245" s="52" t="s">
        <v>22</v>
      </c>
      <c r="P245" s="52" t="s">
        <v>16</v>
      </c>
    </row>
    <row r="246" spans="1:16" ht="15" customHeight="1" x14ac:dyDescent="0.35">
      <c r="A246" s="50" t="s">
        <v>504</v>
      </c>
      <c r="B246" s="50" t="s">
        <v>505</v>
      </c>
      <c r="C246" s="50" t="s">
        <v>36</v>
      </c>
      <c r="D246" s="51">
        <v>90169</v>
      </c>
      <c r="E246" s="51">
        <v>0</v>
      </c>
      <c r="F246" s="51">
        <v>90169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180338</v>
      </c>
      <c r="M246" s="51">
        <v>0</v>
      </c>
      <c r="N246" s="50" t="s">
        <v>23</v>
      </c>
      <c r="O246" s="50" t="s">
        <v>18</v>
      </c>
      <c r="P246" s="50" t="s">
        <v>16</v>
      </c>
    </row>
    <row r="247" spans="1:16" ht="15" customHeight="1" x14ac:dyDescent="0.35">
      <c r="A247" s="52" t="s">
        <v>506</v>
      </c>
      <c r="B247" s="52" t="s">
        <v>507</v>
      </c>
      <c r="C247" s="52" t="s">
        <v>36</v>
      </c>
      <c r="D247" s="53">
        <v>386491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386491</v>
      </c>
      <c r="M247" s="53">
        <v>0</v>
      </c>
      <c r="N247" s="52" t="s">
        <v>26</v>
      </c>
      <c r="O247" s="52" t="s">
        <v>27</v>
      </c>
      <c r="P247" s="52" t="s">
        <v>16</v>
      </c>
    </row>
    <row r="248" spans="1:16" ht="15" customHeight="1" x14ac:dyDescent="0.35">
      <c r="A248" s="50" t="s">
        <v>508</v>
      </c>
      <c r="B248" s="50" t="s">
        <v>509</v>
      </c>
      <c r="C248" s="50" t="s">
        <v>36</v>
      </c>
      <c r="D248" s="51">
        <v>1076702</v>
      </c>
      <c r="E248" s="51">
        <v>0</v>
      </c>
      <c r="F248" s="51">
        <v>59322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1136024</v>
      </c>
      <c r="M248" s="51">
        <v>634157</v>
      </c>
      <c r="N248" s="50" t="s">
        <v>30</v>
      </c>
      <c r="O248" s="50" t="s">
        <v>18</v>
      </c>
      <c r="P248" s="50" t="s">
        <v>16</v>
      </c>
    </row>
    <row r="249" spans="1:16" ht="15" customHeight="1" x14ac:dyDescent="0.35">
      <c r="A249" s="52" t="s">
        <v>510</v>
      </c>
      <c r="B249" s="52" t="s">
        <v>511</v>
      </c>
      <c r="C249" s="52" t="s">
        <v>36</v>
      </c>
      <c r="D249" s="53">
        <v>767630</v>
      </c>
      <c r="E249" s="53">
        <v>0</v>
      </c>
      <c r="F249" s="53">
        <v>767630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1535260</v>
      </c>
      <c r="M249" s="53">
        <v>0</v>
      </c>
      <c r="N249" s="52" t="s">
        <v>23</v>
      </c>
      <c r="O249" s="52" t="s">
        <v>25</v>
      </c>
      <c r="P249" s="52" t="s">
        <v>16</v>
      </c>
    </row>
    <row r="250" spans="1:16" ht="15" customHeight="1" x14ac:dyDescent="0.35">
      <c r="A250" s="50" t="s">
        <v>512</v>
      </c>
      <c r="B250" s="50" t="s">
        <v>513</v>
      </c>
      <c r="C250" s="50" t="s">
        <v>38</v>
      </c>
      <c r="D250" s="51">
        <v>0</v>
      </c>
      <c r="E250" s="51">
        <v>0</v>
      </c>
      <c r="F250" s="51">
        <v>61014</v>
      </c>
      <c r="G250" s="51">
        <v>3188</v>
      </c>
      <c r="H250" s="51">
        <v>0</v>
      </c>
      <c r="I250" s="51">
        <v>0</v>
      </c>
      <c r="J250" s="51">
        <v>0</v>
      </c>
      <c r="K250" s="51">
        <v>0</v>
      </c>
      <c r="L250" s="51">
        <v>64202</v>
      </c>
      <c r="M250" s="51">
        <v>0</v>
      </c>
      <c r="N250" s="50" t="s">
        <v>30</v>
      </c>
      <c r="O250" s="50" t="s">
        <v>18</v>
      </c>
      <c r="P250" s="50" t="s">
        <v>18</v>
      </c>
    </row>
    <row r="251" spans="1:16" ht="15" customHeight="1" x14ac:dyDescent="0.35">
      <c r="A251" s="52" t="s">
        <v>514</v>
      </c>
      <c r="B251" s="52" t="s">
        <v>515</v>
      </c>
      <c r="C251" s="52" t="s">
        <v>36</v>
      </c>
      <c r="D251" s="53">
        <v>92214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92214</v>
      </c>
      <c r="M251" s="53">
        <v>0</v>
      </c>
      <c r="N251" s="52" t="s">
        <v>23</v>
      </c>
      <c r="O251" s="52" t="s">
        <v>27</v>
      </c>
      <c r="P251" s="52" t="s">
        <v>16</v>
      </c>
    </row>
    <row r="252" spans="1:16" ht="15" customHeight="1" x14ac:dyDescent="0.35">
      <c r="A252" s="50" t="s">
        <v>516</v>
      </c>
      <c r="B252" s="50" t="s">
        <v>517</v>
      </c>
      <c r="C252" s="50" t="s">
        <v>36</v>
      </c>
      <c r="D252" s="51">
        <v>0</v>
      </c>
      <c r="E252" s="51">
        <v>14109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14109</v>
      </c>
      <c r="M252" s="51">
        <v>0</v>
      </c>
      <c r="N252" s="50" t="s">
        <v>23</v>
      </c>
      <c r="O252" s="50" t="s">
        <v>18</v>
      </c>
      <c r="P252" s="50" t="s">
        <v>16</v>
      </c>
    </row>
    <row r="253" spans="1:16" ht="15" customHeight="1" x14ac:dyDescent="0.35">
      <c r="A253" s="52" t="s">
        <v>518</v>
      </c>
      <c r="B253" s="52" t="s">
        <v>519</v>
      </c>
      <c r="C253" s="52" t="s">
        <v>36</v>
      </c>
      <c r="D253" s="53">
        <v>0</v>
      </c>
      <c r="E253" s="53">
        <v>43225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43225</v>
      </c>
      <c r="M253" s="53">
        <v>152564</v>
      </c>
      <c r="N253" s="52" t="s">
        <v>23</v>
      </c>
      <c r="O253" s="52" t="s">
        <v>18</v>
      </c>
      <c r="P253" s="52" t="s">
        <v>16</v>
      </c>
    </row>
    <row r="254" spans="1:16" ht="15" customHeight="1" x14ac:dyDescent="0.35">
      <c r="A254" s="50" t="s">
        <v>520</v>
      </c>
      <c r="B254" s="50" t="s">
        <v>521</v>
      </c>
      <c r="C254" s="50" t="s">
        <v>36</v>
      </c>
      <c r="D254" s="51">
        <v>177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177</v>
      </c>
      <c r="M254" s="51">
        <v>0</v>
      </c>
      <c r="N254" s="50" t="s">
        <v>26</v>
      </c>
      <c r="O254" s="50" t="s">
        <v>18</v>
      </c>
      <c r="P254" s="50" t="s">
        <v>16</v>
      </c>
    </row>
    <row r="255" spans="1:16" ht="15" customHeight="1" x14ac:dyDescent="0.35">
      <c r="A255" s="52" t="s">
        <v>522</v>
      </c>
      <c r="B255" s="52" t="s">
        <v>523</v>
      </c>
      <c r="C255" s="52" t="s">
        <v>36</v>
      </c>
      <c r="D255" s="53">
        <v>285506</v>
      </c>
      <c r="E255" s="53">
        <v>497755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783261</v>
      </c>
      <c r="M255" s="53">
        <v>0</v>
      </c>
      <c r="N255" s="52" t="s">
        <v>26</v>
      </c>
      <c r="O255" s="52" t="s">
        <v>19</v>
      </c>
      <c r="P255" s="50" t="s">
        <v>19</v>
      </c>
    </row>
    <row r="256" spans="1:16" ht="15" customHeight="1" x14ac:dyDescent="0.35">
      <c r="A256" s="50" t="s">
        <v>524</v>
      </c>
      <c r="B256" s="50" t="s">
        <v>525</v>
      </c>
      <c r="C256" s="50" t="s">
        <v>36</v>
      </c>
      <c r="D256" s="51">
        <v>0</v>
      </c>
      <c r="E256" s="51">
        <v>95100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95100</v>
      </c>
      <c r="M256" s="51">
        <v>0</v>
      </c>
      <c r="N256" s="50" t="s">
        <v>26</v>
      </c>
      <c r="O256" s="50" t="s">
        <v>18</v>
      </c>
      <c r="P256" s="50" t="s">
        <v>16</v>
      </c>
    </row>
    <row r="257" spans="1:16" ht="15" customHeight="1" x14ac:dyDescent="0.35">
      <c r="A257" s="52" t="s">
        <v>526</v>
      </c>
      <c r="B257" s="52" t="s">
        <v>527</v>
      </c>
      <c r="C257" s="52" t="s">
        <v>36</v>
      </c>
      <c r="D257" s="53">
        <v>243457</v>
      </c>
      <c r="E257" s="53">
        <v>0</v>
      </c>
      <c r="F257" s="53">
        <v>243457</v>
      </c>
      <c r="G257" s="53">
        <v>54576</v>
      </c>
      <c r="H257" s="53">
        <v>0</v>
      </c>
      <c r="I257" s="53">
        <v>0</v>
      </c>
      <c r="J257" s="53">
        <v>0</v>
      </c>
      <c r="K257" s="53">
        <v>0</v>
      </c>
      <c r="L257" s="53">
        <v>541490</v>
      </c>
      <c r="M257" s="53">
        <v>517346</v>
      </c>
      <c r="N257" s="52" t="s">
        <v>26</v>
      </c>
      <c r="O257" s="52" t="s">
        <v>22</v>
      </c>
      <c r="P257" s="52" t="s">
        <v>16</v>
      </c>
    </row>
    <row r="258" spans="1:16" ht="15" customHeight="1" x14ac:dyDescent="0.35">
      <c r="A258" s="50" t="s">
        <v>528</v>
      </c>
      <c r="B258" s="50" t="s">
        <v>529</v>
      </c>
      <c r="C258" s="50" t="s">
        <v>36</v>
      </c>
      <c r="D258" s="51">
        <v>692370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692370</v>
      </c>
      <c r="M258" s="51">
        <v>0</v>
      </c>
      <c r="N258" s="50" t="s">
        <v>30</v>
      </c>
      <c r="O258" s="50" t="s">
        <v>18</v>
      </c>
      <c r="P258" s="50" t="s">
        <v>16</v>
      </c>
    </row>
    <row r="259" spans="1:16" ht="15" customHeight="1" x14ac:dyDescent="0.35">
      <c r="A259" s="52" t="s">
        <v>530</v>
      </c>
      <c r="B259" s="52" t="s">
        <v>531</v>
      </c>
      <c r="C259" s="52" t="s">
        <v>36</v>
      </c>
      <c r="D259" s="53">
        <v>178077</v>
      </c>
      <c r="E259" s="53">
        <v>0</v>
      </c>
      <c r="F259" s="53">
        <v>94261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272338</v>
      </c>
      <c r="M259" s="53">
        <v>0</v>
      </c>
      <c r="N259" s="52" t="s">
        <v>23</v>
      </c>
      <c r="O259" s="52" t="s">
        <v>22</v>
      </c>
      <c r="P259" s="52" t="s">
        <v>16</v>
      </c>
    </row>
    <row r="260" spans="1:16" ht="15" customHeight="1" x14ac:dyDescent="0.35">
      <c r="A260" s="50" t="s">
        <v>532</v>
      </c>
      <c r="B260" s="50" t="s">
        <v>532</v>
      </c>
      <c r="C260" s="50" t="s">
        <v>36</v>
      </c>
      <c r="D260" s="51">
        <v>0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349527</v>
      </c>
      <c r="L260" s="51">
        <v>349527</v>
      </c>
      <c r="M260" s="51">
        <v>0</v>
      </c>
      <c r="N260" s="50" t="s">
        <v>29</v>
      </c>
      <c r="O260" s="50" t="s">
        <v>19</v>
      </c>
      <c r="P260" s="50" t="s">
        <v>19</v>
      </c>
    </row>
    <row r="261" spans="1:16" ht="15" customHeight="1" x14ac:dyDescent="0.35">
      <c r="A261" s="52" t="s">
        <v>533</v>
      </c>
      <c r="B261" s="52" t="s">
        <v>533</v>
      </c>
      <c r="C261" s="52" t="s">
        <v>36</v>
      </c>
      <c r="D261" s="53">
        <v>0</v>
      </c>
      <c r="E261" s="53">
        <v>0</v>
      </c>
      <c r="F261" s="53">
        <v>0</v>
      </c>
      <c r="G261" s="53">
        <v>0</v>
      </c>
      <c r="H261" s="53">
        <v>5699</v>
      </c>
      <c r="I261" s="53">
        <v>0</v>
      </c>
      <c r="J261" s="53">
        <v>0</v>
      </c>
      <c r="K261" s="53">
        <v>0</v>
      </c>
      <c r="L261" s="53">
        <v>5699</v>
      </c>
      <c r="M261" s="53">
        <v>0</v>
      </c>
      <c r="N261" s="52" t="s">
        <v>33</v>
      </c>
      <c r="O261" s="52" t="s">
        <v>19</v>
      </c>
      <c r="P261" s="50" t="s">
        <v>19</v>
      </c>
    </row>
    <row r="262" spans="1:16" ht="15" customHeight="1" x14ac:dyDescent="0.35">
      <c r="A262" s="50" t="s">
        <v>534</v>
      </c>
      <c r="B262" s="50" t="s">
        <v>535</v>
      </c>
      <c r="C262" s="50" t="s">
        <v>36</v>
      </c>
      <c r="D262" s="51">
        <v>0</v>
      </c>
      <c r="E262" s="51">
        <v>0</v>
      </c>
      <c r="F262" s="51">
        <v>0</v>
      </c>
      <c r="G262" s="51">
        <v>0</v>
      </c>
      <c r="H262" s="51">
        <v>54171</v>
      </c>
      <c r="I262" s="51">
        <v>0</v>
      </c>
      <c r="J262" s="51">
        <v>0</v>
      </c>
      <c r="K262" s="51">
        <v>0</v>
      </c>
      <c r="L262" s="51">
        <v>54171</v>
      </c>
      <c r="M262" s="51">
        <v>0</v>
      </c>
      <c r="N262" s="50" t="s">
        <v>23</v>
      </c>
      <c r="O262" s="50" t="s">
        <v>18</v>
      </c>
      <c r="P262" s="50" t="s">
        <v>18</v>
      </c>
    </row>
    <row r="263" spans="1:16" ht="15" customHeight="1" x14ac:dyDescent="0.35">
      <c r="A263" s="52" t="s">
        <v>536</v>
      </c>
      <c r="B263" s="52" t="s">
        <v>537</v>
      </c>
      <c r="C263" s="52" t="s">
        <v>36</v>
      </c>
      <c r="D263" s="53">
        <v>150132</v>
      </c>
      <c r="E263" s="53">
        <v>0</v>
      </c>
      <c r="F263" s="53">
        <v>38575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188707</v>
      </c>
      <c r="M263" s="53">
        <v>0</v>
      </c>
      <c r="N263" s="52" t="s">
        <v>23</v>
      </c>
      <c r="O263" s="52" t="s">
        <v>27</v>
      </c>
      <c r="P263" s="52" t="s">
        <v>16</v>
      </c>
    </row>
    <row r="264" spans="1:16" ht="15" customHeight="1" x14ac:dyDescent="0.35">
      <c r="A264" s="50" t="s">
        <v>538</v>
      </c>
      <c r="B264" s="50" t="s">
        <v>539</v>
      </c>
      <c r="C264" s="50" t="s">
        <v>36</v>
      </c>
      <c r="D264" s="51">
        <v>0</v>
      </c>
      <c r="E264" s="51">
        <v>0</v>
      </c>
      <c r="F264" s="51">
        <v>246996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246996</v>
      </c>
      <c r="M264" s="51">
        <v>0</v>
      </c>
      <c r="N264" s="50" t="s">
        <v>26</v>
      </c>
      <c r="O264" s="50" t="s">
        <v>22</v>
      </c>
      <c r="P264" s="50" t="s">
        <v>18</v>
      </c>
    </row>
    <row r="265" spans="1:16" ht="15" customHeight="1" x14ac:dyDescent="0.35">
      <c r="A265" s="52" t="s">
        <v>540</v>
      </c>
      <c r="B265" s="52" t="s">
        <v>541</v>
      </c>
      <c r="C265" s="52" t="s">
        <v>36</v>
      </c>
      <c r="D265" s="53">
        <v>0</v>
      </c>
      <c r="E265" s="53">
        <v>0</v>
      </c>
      <c r="F265" s="53">
        <v>0</v>
      </c>
      <c r="G265" s="53">
        <v>365900</v>
      </c>
      <c r="H265" s="53">
        <v>527528</v>
      </c>
      <c r="I265" s="53">
        <v>0</v>
      </c>
      <c r="J265" s="53">
        <v>0</v>
      </c>
      <c r="K265" s="53">
        <v>0</v>
      </c>
      <c r="L265" s="53">
        <v>893428</v>
      </c>
      <c r="M265" s="53">
        <v>0</v>
      </c>
      <c r="N265" s="52" t="s">
        <v>20</v>
      </c>
      <c r="O265" s="52" t="s">
        <v>18</v>
      </c>
      <c r="P265" s="52" t="s">
        <v>18</v>
      </c>
    </row>
    <row r="266" spans="1:16" ht="15" customHeight="1" x14ac:dyDescent="0.35">
      <c r="A266" s="50" t="s">
        <v>542</v>
      </c>
      <c r="B266" s="50" t="s">
        <v>543</v>
      </c>
      <c r="C266" s="50" t="s">
        <v>36</v>
      </c>
      <c r="D266" s="51">
        <v>183040</v>
      </c>
      <c r="E266" s="51">
        <v>0</v>
      </c>
      <c r="F266" s="51">
        <v>12653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195693</v>
      </c>
      <c r="M266" s="51">
        <v>0</v>
      </c>
      <c r="N266" s="50" t="s">
        <v>23</v>
      </c>
      <c r="O266" s="50" t="s">
        <v>18</v>
      </c>
      <c r="P266" s="50" t="s">
        <v>16</v>
      </c>
    </row>
    <row r="267" spans="1:16" ht="15" customHeight="1" x14ac:dyDescent="0.35">
      <c r="A267" s="52" t="s">
        <v>544</v>
      </c>
      <c r="B267" s="52" t="s">
        <v>545</v>
      </c>
      <c r="C267" s="52" t="s">
        <v>36</v>
      </c>
      <c r="D267" s="53">
        <v>0</v>
      </c>
      <c r="E267" s="53">
        <v>84683</v>
      </c>
      <c r="F267" s="53">
        <v>84682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169365</v>
      </c>
      <c r="M267" s="53">
        <v>0</v>
      </c>
      <c r="N267" s="52" t="s">
        <v>23</v>
      </c>
      <c r="O267" s="52" t="s">
        <v>18</v>
      </c>
      <c r="P267" s="52" t="s">
        <v>16</v>
      </c>
    </row>
    <row r="268" spans="1:16" ht="15" customHeight="1" x14ac:dyDescent="0.35">
      <c r="A268" s="50" t="s">
        <v>546</v>
      </c>
      <c r="B268" s="50" t="s">
        <v>547</v>
      </c>
      <c r="C268" s="50" t="s">
        <v>36</v>
      </c>
      <c r="D268" s="51">
        <v>0</v>
      </c>
      <c r="E268" s="51">
        <v>0</v>
      </c>
      <c r="F268" s="51">
        <v>90001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90001</v>
      </c>
      <c r="M268" s="51">
        <v>0</v>
      </c>
      <c r="N268" s="50" t="s">
        <v>23</v>
      </c>
      <c r="O268" s="50" t="s">
        <v>27</v>
      </c>
      <c r="P268" s="50" t="s">
        <v>18</v>
      </c>
    </row>
    <row r="269" spans="1:16" ht="15" customHeight="1" x14ac:dyDescent="0.35">
      <c r="A269" s="52" t="s">
        <v>548</v>
      </c>
      <c r="B269" s="52" t="s">
        <v>549</v>
      </c>
      <c r="C269" s="52" t="s">
        <v>36</v>
      </c>
      <c r="D269" s="53">
        <v>37915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37915</v>
      </c>
      <c r="M269" s="53">
        <v>82916</v>
      </c>
      <c r="N269" s="52" t="s">
        <v>30</v>
      </c>
      <c r="O269" s="52" t="s">
        <v>18</v>
      </c>
      <c r="P269" s="52" t="s">
        <v>16</v>
      </c>
    </row>
    <row r="270" spans="1:16" ht="15" customHeight="1" x14ac:dyDescent="0.35">
      <c r="A270" s="50" t="s">
        <v>550</v>
      </c>
      <c r="B270" s="50" t="s">
        <v>551</v>
      </c>
      <c r="C270" s="50" t="s">
        <v>36</v>
      </c>
      <c r="D270" s="51">
        <v>242670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242670</v>
      </c>
      <c r="M270" s="51">
        <v>0</v>
      </c>
      <c r="N270" s="50" t="s">
        <v>26</v>
      </c>
      <c r="O270" s="50" t="s">
        <v>27</v>
      </c>
      <c r="P270" s="50" t="s">
        <v>16</v>
      </c>
    </row>
    <row r="271" spans="1:16" ht="15" customHeight="1" x14ac:dyDescent="0.35">
      <c r="A271" s="52" t="s">
        <v>552</v>
      </c>
      <c r="B271" s="52" t="s">
        <v>553</v>
      </c>
      <c r="C271" s="52" t="s">
        <v>36</v>
      </c>
      <c r="D271" s="53">
        <v>10439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10439</v>
      </c>
      <c r="M271" s="53">
        <v>0</v>
      </c>
      <c r="N271" s="52" t="s">
        <v>23</v>
      </c>
      <c r="O271" s="52" t="s">
        <v>18</v>
      </c>
      <c r="P271" s="52" t="s">
        <v>16</v>
      </c>
    </row>
    <row r="272" spans="1:16" ht="15" customHeight="1" x14ac:dyDescent="0.35">
      <c r="A272" s="50" t="s">
        <v>554</v>
      </c>
      <c r="B272" s="50" t="s">
        <v>555</v>
      </c>
      <c r="C272" s="50" t="s">
        <v>38</v>
      </c>
      <c r="D272" s="51">
        <v>172820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172820</v>
      </c>
      <c r="M272" s="51">
        <v>0</v>
      </c>
      <c r="N272" s="50" t="s">
        <v>26</v>
      </c>
      <c r="O272" s="50" t="s">
        <v>18</v>
      </c>
      <c r="P272" s="50" t="s">
        <v>16</v>
      </c>
    </row>
    <row r="273" spans="1:16" ht="15" customHeight="1" x14ac:dyDescent="0.35">
      <c r="A273" s="52" t="s">
        <v>556</v>
      </c>
      <c r="B273" s="52" t="s">
        <v>557</v>
      </c>
      <c r="C273" s="52" t="s">
        <v>36</v>
      </c>
      <c r="D273" s="53">
        <v>382004</v>
      </c>
      <c r="E273" s="53">
        <v>286407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668411</v>
      </c>
      <c r="M273" s="53">
        <v>0</v>
      </c>
      <c r="N273" s="52" t="s">
        <v>26</v>
      </c>
      <c r="O273" s="52" t="s">
        <v>22</v>
      </c>
      <c r="P273" s="52" t="s">
        <v>16</v>
      </c>
    </row>
    <row r="274" spans="1:16" ht="15" customHeight="1" x14ac:dyDescent="0.35">
      <c r="A274" s="50" t="s">
        <v>558</v>
      </c>
      <c r="B274" s="50" t="s">
        <v>559</v>
      </c>
      <c r="C274" s="50" t="s">
        <v>36</v>
      </c>
      <c r="D274" s="51">
        <v>0</v>
      </c>
      <c r="E274" s="51">
        <v>258488</v>
      </c>
      <c r="F274" s="51">
        <v>63215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412173</v>
      </c>
      <c r="M274" s="51">
        <v>0</v>
      </c>
      <c r="N274" s="50" t="s">
        <v>23</v>
      </c>
      <c r="O274" s="50" t="s">
        <v>22</v>
      </c>
      <c r="P274" s="50" t="s">
        <v>16</v>
      </c>
    </row>
    <row r="275" spans="1:16" ht="15" customHeight="1" x14ac:dyDescent="0.35">
      <c r="A275" s="52" t="s">
        <v>560</v>
      </c>
      <c r="B275" s="52" t="s">
        <v>561</v>
      </c>
      <c r="C275" s="52" t="s">
        <v>36</v>
      </c>
      <c r="D275" s="53">
        <v>268515</v>
      </c>
      <c r="E275" s="53">
        <v>332432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600947</v>
      </c>
      <c r="M275" s="53">
        <v>0</v>
      </c>
      <c r="N275" s="52" t="s">
        <v>26</v>
      </c>
      <c r="O275" s="52" t="s">
        <v>22</v>
      </c>
      <c r="P275" s="52" t="s">
        <v>16</v>
      </c>
    </row>
    <row r="276" spans="1:16" ht="15" customHeight="1" x14ac:dyDescent="0.35">
      <c r="A276" s="50" t="s">
        <v>562</v>
      </c>
      <c r="B276" s="50" t="s">
        <v>563</v>
      </c>
      <c r="C276" s="50" t="s">
        <v>36</v>
      </c>
      <c r="D276" s="51">
        <v>185708</v>
      </c>
      <c r="E276" s="51">
        <v>13645</v>
      </c>
      <c r="F276" s="51">
        <v>0</v>
      </c>
      <c r="G276" s="51">
        <v>0</v>
      </c>
      <c r="H276" s="51">
        <v>0</v>
      </c>
      <c r="I276" s="51">
        <v>0</v>
      </c>
      <c r="J276" s="51">
        <v>0</v>
      </c>
      <c r="K276" s="51">
        <v>0</v>
      </c>
      <c r="L276" s="51">
        <v>199353</v>
      </c>
      <c r="M276" s="51">
        <v>0</v>
      </c>
      <c r="N276" s="50" t="s">
        <v>26</v>
      </c>
      <c r="O276" s="50" t="s">
        <v>18</v>
      </c>
      <c r="P276" s="50" t="s">
        <v>16</v>
      </c>
    </row>
    <row r="277" spans="1:16" ht="15" customHeight="1" x14ac:dyDescent="0.35">
      <c r="A277" s="52" t="s">
        <v>564</v>
      </c>
      <c r="B277" s="52" t="s">
        <v>565</v>
      </c>
      <c r="C277" s="52" t="s">
        <v>36</v>
      </c>
      <c r="D277" s="53">
        <v>246801</v>
      </c>
      <c r="E277" s="53">
        <v>12368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259169</v>
      </c>
      <c r="M277" s="53">
        <v>222099</v>
      </c>
      <c r="N277" s="52" t="s">
        <v>23</v>
      </c>
      <c r="O277" s="52" t="s">
        <v>27</v>
      </c>
      <c r="P277" s="52" t="s">
        <v>16</v>
      </c>
    </row>
    <row r="278" spans="1:16" ht="15" customHeight="1" x14ac:dyDescent="0.35">
      <c r="A278" s="50" t="s">
        <v>566</v>
      </c>
      <c r="B278" s="50" t="s">
        <v>567</v>
      </c>
      <c r="C278" s="50" t="s">
        <v>36</v>
      </c>
      <c r="D278" s="51">
        <v>1401</v>
      </c>
      <c r="E278" s="51">
        <v>0</v>
      </c>
      <c r="F278" s="51">
        <v>0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1401</v>
      </c>
      <c r="M278" s="51">
        <v>0</v>
      </c>
      <c r="N278" s="50" t="s">
        <v>23</v>
      </c>
      <c r="O278" s="50" t="s">
        <v>18</v>
      </c>
      <c r="P278" s="50" t="s">
        <v>16</v>
      </c>
    </row>
    <row r="279" spans="1:16" ht="15" customHeight="1" x14ac:dyDescent="0.35">
      <c r="A279" s="52" t="s">
        <v>568</v>
      </c>
      <c r="B279" s="52" t="s">
        <v>569</v>
      </c>
      <c r="C279" s="52" t="s">
        <v>36</v>
      </c>
      <c r="D279" s="53">
        <v>23598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23598</v>
      </c>
      <c r="M279" s="53">
        <v>0</v>
      </c>
      <c r="N279" s="52" t="s">
        <v>23</v>
      </c>
      <c r="O279" s="52" t="s">
        <v>18</v>
      </c>
      <c r="P279" s="52" t="s">
        <v>16</v>
      </c>
    </row>
    <row r="280" spans="1:16" ht="15" customHeight="1" x14ac:dyDescent="0.35">
      <c r="A280" s="50" t="s">
        <v>570</v>
      </c>
      <c r="B280" s="50" t="s">
        <v>571</v>
      </c>
      <c r="C280" s="50" t="s">
        <v>36</v>
      </c>
      <c r="D280" s="51">
        <v>0</v>
      </c>
      <c r="E280" s="51">
        <v>0</v>
      </c>
      <c r="F280" s="51">
        <v>0</v>
      </c>
      <c r="G280" s="51">
        <v>6628</v>
      </c>
      <c r="H280" s="51">
        <v>0</v>
      </c>
      <c r="I280" s="51">
        <v>0</v>
      </c>
      <c r="J280" s="51">
        <v>0</v>
      </c>
      <c r="K280" s="51">
        <v>0</v>
      </c>
      <c r="L280" s="51">
        <v>6628</v>
      </c>
      <c r="M280" s="51">
        <v>0</v>
      </c>
      <c r="N280" s="50" t="s">
        <v>33</v>
      </c>
      <c r="O280" s="50" t="s">
        <v>19</v>
      </c>
      <c r="P280" s="50" t="s">
        <v>19</v>
      </c>
    </row>
    <row r="281" spans="1:16" ht="15" customHeight="1" x14ac:dyDescent="0.35">
      <c r="A281" s="52" t="s">
        <v>572</v>
      </c>
      <c r="B281" s="52" t="s">
        <v>573</v>
      </c>
      <c r="C281" s="52" t="s">
        <v>36</v>
      </c>
      <c r="D281" s="53">
        <v>0</v>
      </c>
      <c r="E281" s="53">
        <v>0</v>
      </c>
      <c r="F281" s="53">
        <v>0</v>
      </c>
      <c r="G281" s="53">
        <v>133032</v>
      </c>
      <c r="H281" s="53">
        <v>0</v>
      </c>
      <c r="I281" s="53">
        <v>0</v>
      </c>
      <c r="J281" s="53">
        <v>0</v>
      </c>
      <c r="K281" s="53">
        <v>0</v>
      </c>
      <c r="L281" s="53">
        <v>133032</v>
      </c>
      <c r="M281" s="53">
        <v>0</v>
      </c>
      <c r="N281" s="52" t="s">
        <v>23</v>
      </c>
      <c r="O281" s="52" t="s">
        <v>18</v>
      </c>
      <c r="P281" s="52" t="s">
        <v>18</v>
      </c>
    </row>
    <row r="282" spans="1:16" ht="15" customHeight="1" x14ac:dyDescent="0.35">
      <c r="A282" s="50" t="s">
        <v>574</v>
      </c>
      <c r="B282" s="50" t="s">
        <v>575</v>
      </c>
      <c r="C282" s="50" t="s">
        <v>36</v>
      </c>
      <c r="D282" s="51">
        <v>189026</v>
      </c>
      <c r="E282" s="51">
        <v>0</v>
      </c>
      <c r="F282" s="51">
        <v>540676</v>
      </c>
      <c r="G282" s="51">
        <v>0</v>
      </c>
      <c r="H282" s="51">
        <v>125650</v>
      </c>
      <c r="I282" s="51">
        <v>0</v>
      </c>
      <c r="J282" s="51">
        <v>0</v>
      </c>
      <c r="K282" s="51">
        <v>0</v>
      </c>
      <c r="L282" s="51">
        <v>1081352</v>
      </c>
      <c r="M282" s="51">
        <v>0</v>
      </c>
      <c r="N282" s="50" t="s">
        <v>23</v>
      </c>
      <c r="O282" s="50" t="s">
        <v>22</v>
      </c>
      <c r="P282" s="50" t="s">
        <v>16</v>
      </c>
    </row>
    <row r="283" spans="1:16" ht="15" customHeight="1" x14ac:dyDescent="0.35">
      <c r="A283" s="52" t="s">
        <v>576</v>
      </c>
      <c r="B283" s="52" t="s">
        <v>577</v>
      </c>
      <c r="C283" s="52" t="s">
        <v>36</v>
      </c>
      <c r="D283" s="53">
        <v>0</v>
      </c>
      <c r="E283" s="53">
        <v>0</v>
      </c>
      <c r="F283" s="53">
        <v>0</v>
      </c>
      <c r="G283" s="53">
        <v>0</v>
      </c>
      <c r="H283" s="53">
        <v>111962</v>
      </c>
      <c r="I283" s="53">
        <v>0</v>
      </c>
      <c r="J283" s="53">
        <v>0</v>
      </c>
      <c r="K283" s="53">
        <v>0</v>
      </c>
      <c r="L283" s="53">
        <v>111962</v>
      </c>
      <c r="M283" s="53">
        <v>0</v>
      </c>
      <c r="N283" s="52" t="s">
        <v>23</v>
      </c>
      <c r="O283" s="52" t="s">
        <v>18</v>
      </c>
      <c r="P283" s="52" t="s">
        <v>18</v>
      </c>
    </row>
    <row r="284" spans="1:16" ht="15" customHeight="1" x14ac:dyDescent="0.35">
      <c r="A284" s="50" t="s">
        <v>578</v>
      </c>
      <c r="B284" s="50" t="s">
        <v>579</v>
      </c>
      <c r="C284" s="50" t="s">
        <v>38</v>
      </c>
      <c r="D284" s="51">
        <v>5044950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5044950</v>
      </c>
      <c r="M284" s="51">
        <v>0</v>
      </c>
      <c r="N284" s="50" t="s">
        <v>23</v>
      </c>
      <c r="O284" s="50" t="s">
        <v>19</v>
      </c>
      <c r="P284" s="50" t="s">
        <v>19</v>
      </c>
    </row>
    <row r="285" spans="1:16" ht="15" customHeight="1" x14ac:dyDescent="0.35">
      <c r="A285" s="52" t="s">
        <v>580</v>
      </c>
      <c r="B285" s="52" t="s">
        <v>581</v>
      </c>
      <c r="C285" s="52" t="s">
        <v>38</v>
      </c>
      <c r="D285" s="53">
        <v>41876</v>
      </c>
      <c r="E285" s="53">
        <v>4386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46262</v>
      </c>
      <c r="M285" s="53">
        <v>0</v>
      </c>
      <c r="N285" s="52" t="s">
        <v>26</v>
      </c>
      <c r="O285" s="52" t="s">
        <v>18</v>
      </c>
      <c r="P285" s="52" t="s">
        <v>16</v>
      </c>
    </row>
    <row r="286" spans="1:16" ht="15" customHeight="1" x14ac:dyDescent="0.35">
      <c r="A286" s="50" t="s">
        <v>582</v>
      </c>
      <c r="B286" s="50" t="s">
        <v>583</v>
      </c>
      <c r="C286" s="50" t="s">
        <v>38</v>
      </c>
      <c r="D286" s="51">
        <v>186219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84446</v>
      </c>
      <c r="L286" s="51">
        <v>270665</v>
      </c>
      <c r="M286" s="51">
        <v>28831</v>
      </c>
      <c r="N286" s="50" t="s">
        <v>29</v>
      </c>
      <c r="O286" s="50" t="s">
        <v>19</v>
      </c>
      <c r="P286" s="50" t="s">
        <v>19</v>
      </c>
    </row>
    <row r="287" spans="1:16" ht="15" customHeight="1" x14ac:dyDescent="0.35">
      <c r="A287" s="52" t="s">
        <v>584</v>
      </c>
      <c r="B287" s="52" t="s">
        <v>585</v>
      </c>
      <c r="C287" s="52" t="s">
        <v>38</v>
      </c>
      <c r="D287" s="53">
        <v>362522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362522</v>
      </c>
      <c r="M287" s="53">
        <v>1594995</v>
      </c>
      <c r="N287" s="52" t="s">
        <v>30</v>
      </c>
      <c r="O287" s="52" t="s">
        <v>19</v>
      </c>
      <c r="P287" s="50" t="s">
        <v>19</v>
      </c>
    </row>
    <row r="288" spans="1:16" ht="15" customHeight="1" x14ac:dyDescent="0.35">
      <c r="A288" s="50" t="s">
        <v>586</v>
      </c>
      <c r="B288" s="50" t="s">
        <v>587</v>
      </c>
      <c r="C288" s="50" t="s">
        <v>36</v>
      </c>
      <c r="D288" s="51">
        <v>0</v>
      </c>
      <c r="E288" s="51">
        <v>98500</v>
      </c>
      <c r="F288" s="51">
        <v>0</v>
      </c>
      <c r="G288" s="51">
        <v>98500</v>
      </c>
      <c r="H288" s="51">
        <v>0</v>
      </c>
      <c r="I288" s="51">
        <v>0</v>
      </c>
      <c r="J288" s="51">
        <v>0</v>
      </c>
      <c r="K288" s="51">
        <v>0</v>
      </c>
      <c r="L288" s="51">
        <v>197000</v>
      </c>
      <c r="M288" s="51">
        <v>197000</v>
      </c>
      <c r="N288" s="50" t="s">
        <v>23</v>
      </c>
      <c r="O288" s="50" t="s">
        <v>22</v>
      </c>
      <c r="P288" s="50" t="s">
        <v>16</v>
      </c>
    </row>
    <row r="289" spans="1:16" ht="15" customHeight="1" x14ac:dyDescent="0.35">
      <c r="A289" s="52" t="s">
        <v>588</v>
      </c>
      <c r="B289" s="52" t="s">
        <v>589</v>
      </c>
      <c r="C289" s="52" t="s">
        <v>36</v>
      </c>
      <c r="D289" s="53">
        <v>79770</v>
      </c>
      <c r="E289" s="53">
        <v>0</v>
      </c>
      <c r="F289" s="53">
        <v>121933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201703</v>
      </c>
      <c r="M289" s="53">
        <v>0</v>
      </c>
      <c r="N289" s="52" t="s">
        <v>23</v>
      </c>
      <c r="O289" s="52" t="s">
        <v>18</v>
      </c>
      <c r="P289" s="52" t="s">
        <v>16</v>
      </c>
    </row>
    <row r="290" spans="1:16" ht="15" customHeight="1" x14ac:dyDescent="0.35">
      <c r="A290" s="50" t="s">
        <v>590</v>
      </c>
      <c r="B290" s="50" t="s">
        <v>590</v>
      </c>
      <c r="C290" s="50" t="s">
        <v>40</v>
      </c>
      <c r="D290" s="51">
        <v>0</v>
      </c>
      <c r="E290" s="51">
        <v>185662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185662</v>
      </c>
      <c r="M290" s="51">
        <v>0</v>
      </c>
      <c r="N290" s="50" t="s">
        <v>17</v>
      </c>
      <c r="O290" s="50" t="s">
        <v>19</v>
      </c>
      <c r="P290" s="50" t="s">
        <v>19</v>
      </c>
    </row>
    <row r="291" spans="1:16" ht="15" customHeight="1" x14ac:dyDescent="0.35">
      <c r="A291" s="52" t="s">
        <v>591</v>
      </c>
      <c r="B291" s="52" t="s">
        <v>592</v>
      </c>
      <c r="C291" s="52" t="s">
        <v>36</v>
      </c>
      <c r="D291" s="53">
        <v>0</v>
      </c>
      <c r="E291" s="53">
        <v>124196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124196</v>
      </c>
      <c r="M291" s="53">
        <v>0</v>
      </c>
      <c r="N291" s="52" t="s">
        <v>30</v>
      </c>
      <c r="O291" s="52" t="s">
        <v>18</v>
      </c>
      <c r="P291" s="52" t="s">
        <v>16</v>
      </c>
    </row>
    <row r="292" spans="1:16" ht="15" customHeight="1" x14ac:dyDescent="0.35">
      <c r="A292" s="50" t="s">
        <v>593</v>
      </c>
      <c r="B292" s="50" t="s">
        <v>594</v>
      </c>
      <c r="C292" s="50" t="s">
        <v>38</v>
      </c>
      <c r="D292" s="51">
        <v>0</v>
      </c>
      <c r="E292" s="51">
        <v>0</v>
      </c>
      <c r="F292" s="51">
        <v>32290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32290</v>
      </c>
      <c r="M292" s="51">
        <v>0</v>
      </c>
      <c r="N292" s="50" t="s">
        <v>26</v>
      </c>
      <c r="O292" s="50" t="s">
        <v>18</v>
      </c>
      <c r="P292" s="50" t="s">
        <v>18</v>
      </c>
    </row>
    <row r="293" spans="1:16" ht="15" customHeight="1" x14ac:dyDescent="0.35">
      <c r="A293" s="52" t="s">
        <v>595</v>
      </c>
      <c r="B293" s="52" t="s">
        <v>596</v>
      </c>
      <c r="C293" s="52" t="s">
        <v>36</v>
      </c>
      <c r="D293" s="53">
        <v>98570</v>
      </c>
      <c r="E293" s="53">
        <v>197142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295712</v>
      </c>
      <c r="M293" s="53">
        <v>0</v>
      </c>
      <c r="N293" s="52" t="s">
        <v>26</v>
      </c>
      <c r="O293" s="52" t="s">
        <v>27</v>
      </c>
      <c r="P293" s="52" t="s">
        <v>16</v>
      </c>
    </row>
    <row r="294" spans="1:16" ht="15" customHeight="1" x14ac:dyDescent="0.35">
      <c r="A294" s="50" t="s">
        <v>597</v>
      </c>
      <c r="B294" s="50" t="s">
        <v>598</v>
      </c>
      <c r="C294" s="50" t="s">
        <v>36</v>
      </c>
      <c r="D294" s="51">
        <v>245854</v>
      </c>
      <c r="E294" s="51">
        <v>78985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324839</v>
      </c>
      <c r="M294" s="51">
        <v>0</v>
      </c>
      <c r="N294" s="50" t="s">
        <v>30</v>
      </c>
      <c r="O294" s="50" t="s">
        <v>22</v>
      </c>
      <c r="P294" s="50" t="s">
        <v>16</v>
      </c>
    </row>
    <row r="295" spans="1:16" ht="15" customHeight="1" x14ac:dyDescent="0.35">
      <c r="A295" s="52" t="s">
        <v>599</v>
      </c>
      <c r="B295" s="52" t="s">
        <v>600</v>
      </c>
      <c r="C295" s="52" t="s">
        <v>36</v>
      </c>
      <c r="D295" s="53">
        <v>0</v>
      </c>
      <c r="E295" s="53">
        <v>59525</v>
      </c>
      <c r="F295" s="53">
        <v>41426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100951</v>
      </c>
      <c r="M295" s="53">
        <v>0</v>
      </c>
      <c r="N295" s="52" t="s">
        <v>26</v>
      </c>
      <c r="O295" s="52" t="s">
        <v>18</v>
      </c>
      <c r="P295" s="52" t="s">
        <v>16</v>
      </c>
    </row>
    <row r="296" spans="1:16" ht="15" customHeight="1" x14ac:dyDescent="0.35">
      <c r="A296" s="50" t="s">
        <v>601</v>
      </c>
      <c r="B296" s="50" t="s">
        <v>602</v>
      </c>
      <c r="C296" s="50" t="s">
        <v>36</v>
      </c>
      <c r="D296" s="51">
        <v>0</v>
      </c>
      <c r="E296" s="51">
        <v>161279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161279</v>
      </c>
      <c r="M296" s="51">
        <v>0</v>
      </c>
      <c r="N296" s="50" t="s">
        <v>26</v>
      </c>
      <c r="O296" s="50" t="s">
        <v>18</v>
      </c>
      <c r="P296" s="50" t="s">
        <v>16</v>
      </c>
    </row>
    <row r="297" spans="1:16" ht="15" customHeight="1" x14ac:dyDescent="0.35">
      <c r="A297" s="52" t="s">
        <v>603</v>
      </c>
      <c r="B297" s="52" t="s">
        <v>604</v>
      </c>
      <c r="C297" s="52" t="s">
        <v>36</v>
      </c>
      <c r="D297" s="53">
        <v>310201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310201</v>
      </c>
      <c r="M297" s="53">
        <v>303577</v>
      </c>
      <c r="N297" s="52" t="s">
        <v>23</v>
      </c>
      <c r="O297" s="52" t="s">
        <v>18</v>
      </c>
      <c r="P297" s="52" t="s">
        <v>16</v>
      </c>
    </row>
    <row r="298" spans="1:16" ht="15" customHeight="1" x14ac:dyDescent="0.35">
      <c r="A298" s="50" t="s">
        <v>605</v>
      </c>
      <c r="B298" s="50" t="s">
        <v>606</v>
      </c>
      <c r="C298" s="50" t="s">
        <v>36</v>
      </c>
      <c r="D298" s="51">
        <v>170772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170772</v>
      </c>
      <c r="M298" s="51">
        <v>0</v>
      </c>
      <c r="N298" s="50" t="s">
        <v>30</v>
      </c>
      <c r="O298" s="50" t="s">
        <v>18</v>
      </c>
      <c r="P298" s="50" t="s">
        <v>16</v>
      </c>
    </row>
    <row r="299" spans="1:16" ht="15" customHeight="1" x14ac:dyDescent="0.35">
      <c r="A299" s="52" t="s">
        <v>607</v>
      </c>
      <c r="B299" s="52" t="s">
        <v>608</v>
      </c>
      <c r="C299" s="52" t="s">
        <v>36</v>
      </c>
      <c r="D299" s="53">
        <v>0</v>
      </c>
      <c r="E299" s="53">
        <v>165437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165437</v>
      </c>
      <c r="M299" s="53">
        <v>0</v>
      </c>
      <c r="N299" s="52" t="s">
        <v>26</v>
      </c>
      <c r="O299" s="52" t="s">
        <v>18</v>
      </c>
      <c r="P299" s="52" t="s">
        <v>16</v>
      </c>
    </row>
    <row r="300" spans="1:16" ht="15" customHeight="1" x14ac:dyDescent="0.35">
      <c r="A300" s="50" t="s">
        <v>609</v>
      </c>
      <c r="B300" s="50" t="s">
        <v>610</v>
      </c>
      <c r="C300" s="50" t="s">
        <v>36</v>
      </c>
      <c r="D300" s="51">
        <v>116902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116902</v>
      </c>
      <c r="M300" s="51">
        <v>0</v>
      </c>
      <c r="N300" s="50" t="s">
        <v>30</v>
      </c>
      <c r="O300" s="50" t="s">
        <v>18</v>
      </c>
      <c r="P300" s="50" t="s">
        <v>16</v>
      </c>
    </row>
    <row r="301" spans="1:16" ht="15" customHeight="1" x14ac:dyDescent="0.35">
      <c r="A301" s="52" t="s">
        <v>611</v>
      </c>
      <c r="B301" s="52" t="s">
        <v>612</v>
      </c>
      <c r="C301" s="52" t="s">
        <v>36</v>
      </c>
      <c r="D301" s="53">
        <v>0</v>
      </c>
      <c r="E301" s="53">
        <v>19792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19792</v>
      </c>
      <c r="M301" s="53">
        <v>0</v>
      </c>
      <c r="N301" s="52" t="s">
        <v>26</v>
      </c>
      <c r="O301" s="52" t="s">
        <v>27</v>
      </c>
      <c r="P301" s="52" t="s">
        <v>16</v>
      </c>
    </row>
    <row r="302" spans="1:16" ht="15" customHeight="1" x14ac:dyDescent="0.35">
      <c r="A302" s="50" t="s">
        <v>613</v>
      </c>
      <c r="B302" s="50" t="s">
        <v>614</v>
      </c>
      <c r="C302" s="50" t="s">
        <v>36</v>
      </c>
      <c r="D302" s="51">
        <v>316105</v>
      </c>
      <c r="E302" s="51">
        <v>0</v>
      </c>
      <c r="F302" s="51">
        <v>0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316105</v>
      </c>
      <c r="M302" s="51">
        <v>0</v>
      </c>
      <c r="N302" s="50" t="s">
        <v>30</v>
      </c>
      <c r="O302" s="50" t="s">
        <v>27</v>
      </c>
      <c r="P302" s="50" t="s">
        <v>16</v>
      </c>
    </row>
    <row r="303" spans="1:16" ht="15" customHeight="1" x14ac:dyDescent="0.35">
      <c r="A303" s="52" t="s">
        <v>615</v>
      </c>
      <c r="B303" s="52" t="s">
        <v>616</v>
      </c>
      <c r="C303" s="52" t="s">
        <v>36</v>
      </c>
      <c r="D303" s="53">
        <v>0</v>
      </c>
      <c r="E303" s="53">
        <v>15330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15330</v>
      </c>
      <c r="M303" s="53">
        <v>0</v>
      </c>
      <c r="N303" s="52" t="s">
        <v>30</v>
      </c>
      <c r="O303" s="52" t="s">
        <v>18</v>
      </c>
      <c r="P303" s="52" t="s">
        <v>16</v>
      </c>
    </row>
    <row r="304" spans="1:16" ht="15" customHeight="1" x14ac:dyDescent="0.35">
      <c r="A304" s="50" t="s">
        <v>617</v>
      </c>
      <c r="B304" s="50" t="s">
        <v>618</v>
      </c>
      <c r="C304" s="50" t="s">
        <v>36</v>
      </c>
      <c r="D304" s="51">
        <v>0</v>
      </c>
      <c r="E304" s="51">
        <v>8883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8883</v>
      </c>
      <c r="M304" s="51">
        <v>0</v>
      </c>
      <c r="N304" s="50" t="s">
        <v>30</v>
      </c>
      <c r="O304" s="50" t="s">
        <v>22</v>
      </c>
      <c r="P304" s="50" t="s">
        <v>16</v>
      </c>
    </row>
    <row r="305" spans="1:16" ht="15" customHeight="1" x14ac:dyDescent="0.35">
      <c r="A305" s="52" t="s">
        <v>619</v>
      </c>
      <c r="B305" s="52" t="s">
        <v>620</v>
      </c>
      <c r="C305" s="52" t="s">
        <v>36</v>
      </c>
      <c r="D305" s="53">
        <v>0</v>
      </c>
      <c r="E305" s="53">
        <v>51407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51407</v>
      </c>
      <c r="M305" s="53">
        <v>0</v>
      </c>
      <c r="N305" s="52" t="s">
        <v>30</v>
      </c>
      <c r="O305" s="52" t="s">
        <v>18</v>
      </c>
      <c r="P305" s="52" t="s">
        <v>16</v>
      </c>
    </row>
    <row r="306" spans="1:16" ht="15" customHeight="1" x14ac:dyDescent="0.35">
      <c r="A306" s="50" t="s">
        <v>621</v>
      </c>
      <c r="B306" s="50" t="s">
        <v>622</v>
      </c>
      <c r="C306" s="50" t="s">
        <v>36</v>
      </c>
      <c r="D306" s="51">
        <v>55278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55278</v>
      </c>
      <c r="M306" s="51">
        <v>0</v>
      </c>
      <c r="N306" s="50" t="s">
        <v>30</v>
      </c>
      <c r="O306" s="50" t="s">
        <v>18</v>
      </c>
      <c r="P306" s="50" t="s">
        <v>16</v>
      </c>
    </row>
    <row r="307" spans="1:16" ht="15" customHeight="1" x14ac:dyDescent="0.35">
      <c r="A307" s="52" t="s">
        <v>623</v>
      </c>
      <c r="B307" s="52" t="s">
        <v>624</v>
      </c>
      <c r="C307" s="52" t="s">
        <v>36</v>
      </c>
      <c r="D307" s="53">
        <v>471106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471106</v>
      </c>
      <c r="M307" s="53">
        <v>0</v>
      </c>
      <c r="N307" s="52" t="s">
        <v>30</v>
      </c>
      <c r="O307" s="52" t="s">
        <v>18</v>
      </c>
      <c r="P307" s="52" t="s">
        <v>16</v>
      </c>
    </row>
    <row r="308" spans="1:16" ht="15" customHeight="1" x14ac:dyDescent="0.35">
      <c r="A308" s="50" t="s">
        <v>625</v>
      </c>
      <c r="B308" s="50" t="s">
        <v>626</v>
      </c>
      <c r="C308" s="50" t="s">
        <v>36</v>
      </c>
      <c r="D308" s="51">
        <v>67501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67501</v>
      </c>
      <c r="M308" s="51">
        <v>0</v>
      </c>
      <c r="N308" s="50" t="s">
        <v>26</v>
      </c>
      <c r="O308" s="50" t="s">
        <v>18</v>
      </c>
      <c r="P308" s="50" t="s">
        <v>16</v>
      </c>
    </row>
    <row r="309" spans="1:16" ht="15" customHeight="1" x14ac:dyDescent="0.35">
      <c r="A309" s="52" t="s">
        <v>627</v>
      </c>
      <c r="B309" s="52" t="s">
        <v>628</v>
      </c>
      <c r="C309" s="52" t="s">
        <v>36</v>
      </c>
      <c r="D309" s="53">
        <v>157484</v>
      </c>
      <c r="E309" s="53">
        <v>52062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209546</v>
      </c>
      <c r="M309" s="53">
        <v>0</v>
      </c>
      <c r="N309" s="52" t="s">
        <v>30</v>
      </c>
      <c r="O309" s="52" t="s">
        <v>27</v>
      </c>
      <c r="P309" s="52" t="s">
        <v>16</v>
      </c>
    </row>
    <row r="310" spans="1:16" ht="15" customHeight="1" x14ac:dyDescent="0.35">
      <c r="A310" s="50" t="s">
        <v>629</v>
      </c>
      <c r="B310" s="50" t="s">
        <v>630</v>
      </c>
      <c r="C310" s="50" t="s">
        <v>36</v>
      </c>
      <c r="D310" s="51">
        <v>115287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115287</v>
      </c>
      <c r="M310" s="51">
        <v>0</v>
      </c>
      <c r="N310" s="50" t="s">
        <v>26</v>
      </c>
      <c r="O310" s="50" t="s">
        <v>18</v>
      </c>
      <c r="P310" s="50" t="s">
        <v>16</v>
      </c>
    </row>
    <row r="311" spans="1:16" ht="15" customHeight="1" x14ac:dyDescent="0.35">
      <c r="A311" s="52" t="s">
        <v>631</v>
      </c>
      <c r="B311" s="52" t="s">
        <v>632</v>
      </c>
      <c r="C311" s="52" t="s">
        <v>36</v>
      </c>
      <c r="D311" s="53">
        <v>0</v>
      </c>
      <c r="E311" s="53">
        <v>145251</v>
      </c>
      <c r="F311" s="53">
        <v>145251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290502</v>
      </c>
      <c r="M311" s="53">
        <v>290502</v>
      </c>
      <c r="N311" s="52" t="s">
        <v>26</v>
      </c>
      <c r="O311" s="52" t="s">
        <v>18</v>
      </c>
      <c r="P311" s="52" t="s">
        <v>16</v>
      </c>
    </row>
    <row r="312" spans="1:16" ht="15" customHeight="1" x14ac:dyDescent="0.35">
      <c r="A312" s="50" t="s">
        <v>633</v>
      </c>
      <c r="B312" s="50" t="s">
        <v>634</v>
      </c>
      <c r="C312" s="50" t="s">
        <v>36</v>
      </c>
      <c r="D312" s="51">
        <v>0</v>
      </c>
      <c r="E312" s="51">
        <v>0</v>
      </c>
      <c r="F312" s="51">
        <v>330784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330784</v>
      </c>
      <c r="M312" s="51">
        <v>0</v>
      </c>
      <c r="N312" s="50" t="s">
        <v>23</v>
      </c>
      <c r="O312" s="50" t="s">
        <v>27</v>
      </c>
      <c r="P312" s="50" t="s">
        <v>18</v>
      </c>
    </row>
    <row r="313" spans="1:16" ht="15" customHeight="1" x14ac:dyDescent="0.35">
      <c r="A313" s="52" t="s">
        <v>635</v>
      </c>
      <c r="B313" s="52" t="s">
        <v>636</v>
      </c>
      <c r="C313" s="52" t="s">
        <v>36</v>
      </c>
      <c r="D313" s="53">
        <v>636558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636558</v>
      </c>
      <c r="M313" s="53">
        <v>0</v>
      </c>
      <c r="N313" s="52" t="s">
        <v>30</v>
      </c>
      <c r="O313" s="52" t="s">
        <v>18</v>
      </c>
      <c r="P313" s="52" t="s">
        <v>16</v>
      </c>
    </row>
    <row r="314" spans="1:16" ht="15" customHeight="1" x14ac:dyDescent="0.35">
      <c r="A314" s="50" t="s">
        <v>637</v>
      </c>
      <c r="B314" s="50" t="s">
        <v>638</v>
      </c>
      <c r="C314" s="50" t="s">
        <v>36</v>
      </c>
      <c r="D314" s="51">
        <v>65241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65241</v>
      </c>
      <c r="M314" s="51">
        <v>0</v>
      </c>
      <c r="N314" s="50" t="s">
        <v>26</v>
      </c>
      <c r="O314" s="50" t="s">
        <v>18</v>
      </c>
      <c r="P314" s="50" t="s">
        <v>16</v>
      </c>
    </row>
    <row r="315" spans="1:16" ht="15" customHeight="1" x14ac:dyDescent="0.35">
      <c r="A315" s="52" t="s">
        <v>639</v>
      </c>
      <c r="B315" s="52" t="s">
        <v>640</v>
      </c>
      <c r="C315" s="52" t="s">
        <v>36</v>
      </c>
      <c r="D315" s="53">
        <v>113410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113410</v>
      </c>
      <c r="M315" s="53">
        <v>0</v>
      </c>
      <c r="N315" s="52" t="s">
        <v>30</v>
      </c>
      <c r="O315" s="52" t="s">
        <v>18</v>
      </c>
      <c r="P315" s="52" t="s">
        <v>16</v>
      </c>
    </row>
    <row r="316" spans="1:16" ht="15" customHeight="1" x14ac:dyDescent="0.35">
      <c r="A316" s="50" t="s">
        <v>641</v>
      </c>
      <c r="B316" s="50" t="s">
        <v>642</v>
      </c>
      <c r="C316" s="50" t="s">
        <v>36</v>
      </c>
      <c r="D316" s="51">
        <v>0</v>
      </c>
      <c r="E316" s="51">
        <v>148039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148039</v>
      </c>
      <c r="M316" s="51">
        <v>0</v>
      </c>
      <c r="N316" s="50" t="s">
        <v>26</v>
      </c>
      <c r="O316" s="50" t="s">
        <v>27</v>
      </c>
      <c r="P316" s="50" t="s">
        <v>16</v>
      </c>
    </row>
    <row r="317" spans="1:16" ht="15" customHeight="1" x14ac:dyDescent="0.35">
      <c r="A317" s="52" t="s">
        <v>643</v>
      </c>
      <c r="B317" s="52" t="s">
        <v>644</v>
      </c>
      <c r="C317" s="52" t="s">
        <v>36</v>
      </c>
      <c r="D317" s="53">
        <v>72508</v>
      </c>
      <c r="E317" s="53">
        <v>145015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217523</v>
      </c>
      <c r="M317" s="53">
        <v>217524</v>
      </c>
      <c r="N317" s="52" t="s">
        <v>26</v>
      </c>
      <c r="O317" s="52" t="s">
        <v>18</v>
      </c>
      <c r="P317" s="52" t="s">
        <v>16</v>
      </c>
    </row>
    <row r="318" spans="1:16" ht="15" customHeight="1" x14ac:dyDescent="0.35">
      <c r="A318" s="50" t="s">
        <v>645</v>
      </c>
      <c r="B318" s="50" t="s">
        <v>646</v>
      </c>
      <c r="C318" s="50" t="s">
        <v>36</v>
      </c>
      <c r="D318" s="51">
        <v>0</v>
      </c>
      <c r="E318" s="51">
        <v>696813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696813</v>
      </c>
      <c r="M318" s="51">
        <v>0</v>
      </c>
      <c r="N318" s="50" t="s">
        <v>30</v>
      </c>
      <c r="O318" s="50" t="s">
        <v>22</v>
      </c>
      <c r="P318" s="50" t="s">
        <v>16</v>
      </c>
    </row>
    <row r="319" spans="1:16" ht="15" customHeight="1" x14ac:dyDescent="0.35">
      <c r="A319" s="52" t="s">
        <v>647</v>
      </c>
      <c r="B319" s="52" t="s">
        <v>648</v>
      </c>
      <c r="C319" s="52" t="s">
        <v>36</v>
      </c>
      <c r="D319" s="53">
        <v>856269</v>
      </c>
      <c r="E319" s="53">
        <v>1285366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2141635</v>
      </c>
      <c r="M319" s="53">
        <v>0</v>
      </c>
      <c r="N319" s="52" t="s">
        <v>30</v>
      </c>
      <c r="O319" s="52" t="s">
        <v>18</v>
      </c>
      <c r="P319" s="52" t="s">
        <v>16</v>
      </c>
    </row>
    <row r="320" spans="1:16" ht="15" customHeight="1" x14ac:dyDescent="0.35">
      <c r="A320" s="50" t="s">
        <v>649</v>
      </c>
      <c r="B320" s="50" t="s">
        <v>650</v>
      </c>
      <c r="C320" s="50" t="s">
        <v>36</v>
      </c>
      <c r="D320" s="51">
        <v>150002</v>
      </c>
      <c r="E320" s="51">
        <v>315402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465404</v>
      </c>
      <c r="M320" s="51">
        <v>0</v>
      </c>
      <c r="N320" s="50" t="s">
        <v>23</v>
      </c>
      <c r="O320" s="50" t="s">
        <v>18</v>
      </c>
      <c r="P320" s="50" t="s">
        <v>16</v>
      </c>
    </row>
    <row r="321" spans="1:16" ht="15" customHeight="1" x14ac:dyDescent="0.35">
      <c r="A321" s="52" t="s">
        <v>651</v>
      </c>
      <c r="B321" s="52" t="s">
        <v>652</v>
      </c>
      <c r="C321" s="52" t="s">
        <v>36</v>
      </c>
      <c r="D321" s="53">
        <v>88209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88209</v>
      </c>
      <c r="M321" s="53">
        <v>0</v>
      </c>
      <c r="N321" s="52" t="s">
        <v>30</v>
      </c>
      <c r="O321" s="52" t="s">
        <v>18</v>
      </c>
      <c r="P321" s="52" t="s">
        <v>16</v>
      </c>
    </row>
    <row r="322" spans="1:16" ht="15" customHeight="1" x14ac:dyDescent="0.35">
      <c r="A322" s="50" t="s">
        <v>653</v>
      </c>
      <c r="B322" s="50" t="s">
        <v>654</v>
      </c>
      <c r="C322" s="50" t="s">
        <v>36</v>
      </c>
      <c r="D322" s="51">
        <v>106287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106287</v>
      </c>
      <c r="M322" s="51">
        <v>0</v>
      </c>
      <c r="N322" s="50" t="s">
        <v>30</v>
      </c>
      <c r="O322" s="50" t="s">
        <v>18</v>
      </c>
      <c r="P322" s="50" t="s">
        <v>16</v>
      </c>
    </row>
    <row r="323" spans="1:16" ht="15" customHeight="1" x14ac:dyDescent="0.35">
      <c r="A323" s="52" t="s">
        <v>655</v>
      </c>
      <c r="B323" s="52" t="s">
        <v>656</v>
      </c>
      <c r="C323" s="52" t="s">
        <v>36</v>
      </c>
      <c r="D323" s="53">
        <v>153100</v>
      </c>
      <c r="E323" s="53">
        <v>6203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159303</v>
      </c>
      <c r="M323" s="53">
        <v>0</v>
      </c>
      <c r="N323" s="52" t="s">
        <v>26</v>
      </c>
      <c r="O323" s="52" t="s">
        <v>18</v>
      </c>
      <c r="P323" s="52" t="s">
        <v>16</v>
      </c>
    </row>
    <row r="324" spans="1:16" ht="15" customHeight="1" x14ac:dyDescent="0.35">
      <c r="A324" s="50" t="s">
        <v>657</v>
      </c>
      <c r="B324" s="50" t="s">
        <v>658</v>
      </c>
      <c r="C324" s="50" t="s">
        <v>36</v>
      </c>
      <c r="D324" s="51">
        <v>111143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111143</v>
      </c>
      <c r="M324" s="51">
        <v>0</v>
      </c>
      <c r="N324" s="50" t="s">
        <v>30</v>
      </c>
      <c r="O324" s="50" t="s">
        <v>18</v>
      </c>
      <c r="P324" s="50" t="s">
        <v>16</v>
      </c>
    </row>
    <row r="325" spans="1:16" ht="15" customHeight="1" x14ac:dyDescent="0.35">
      <c r="A325" s="52" t="s">
        <v>659</v>
      </c>
      <c r="B325" s="52" t="s">
        <v>660</v>
      </c>
      <c r="C325" s="52" t="s">
        <v>36</v>
      </c>
      <c r="D325" s="53">
        <v>0</v>
      </c>
      <c r="E325" s="53">
        <v>510079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510079</v>
      </c>
      <c r="M325" s="53">
        <v>0</v>
      </c>
      <c r="N325" s="52" t="s">
        <v>26</v>
      </c>
      <c r="O325" s="52" t="s">
        <v>27</v>
      </c>
      <c r="P325" s="52" t="s">
        <v>16</v>
      </c>
    </row>
    <row r="326" spans="1:16" ht="15" customHeight="1" x14ac:dyDescent="0.35">
      <c r="A326" s="50" t="s">
        <v>661</v>
      </c>
      <c r="B326" s="50" t="s">
        <v>662</v>
      </c>
      <c r="C326" s="50" t="s">
        <v>36</v>
      </c>
      <c r="D326" s="51">
        <v>512784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512784</v>
      </c>
      <c r="M326" s="51">
        <v>0</v>
      </c>
      <c r="N326" s="50" t="s">
        <v>30</v>
      </c>
      <c r="O326" s="50" t="s">
        <v>18</v>
      </c>
      <c r="P326" s="50" t="s">
        <v>16</v>
      </c>
    </row>
    <row r="327" spans="1:16" ht="15" customHeight="1" x14ac:dyDescent="0.35">
      <c r="A327" s="52" t="s">
        <v>663</v>
      </c>
      <c r="B327" s="52" t="s">
        <v>664</v>
      </c>
      <c r="C327" s="52" t="s">
        <v>36</v>
      </c>
      <c r="D327" s="53">
        <v>0</v>
      </c>
      <c r="E327" s="53">
        <v>1608673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1608673</v>
      </c>
      <c r="M327" s="53">
        <v>0</v>
      </c>
      <c r="N327" s="52" t="s">
        <v>30</v>
      </c>
      <c r="O327" s="52" t="s">
        <v>18</v>
      </c>
      <c r="P327" s="52" t="s">
        <v>16</v>
      </c>
    </row>
    <row r="328" spans="1:16" ht="15" customHeight="1" x14ac:dyDescent="0.35">
      <c r="A328" s="50" t="s">
        <v>665</v>
      </c>
      <c r="B328" s="50" t="s">
        <v>666</v>
      </c>
      <c r="C328" s="50" t="s">
        <v>36</v>
      </c>
      <c r="D328" s="51">
        <v>19818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19818</v>
      </c>
      <c r="M328" s="51">
        <v>0</v>
      </c>
      <c r="N328" s="50" t="s">
        <v>30</v>
      </c>
      <c r="O328" s="50" t="s">
        <v>18</v>
      </c>
      <c r="P328" s="50" t="s">
        <v>16</v>
      </c>
    </row>
    <row r="329" spans="1:16" ht="15" customHeight="1" x14ac:dyDescent="0.35">
      <c r="A329" s="52" t="s">
        <v>667</v>
      </c>
      <c r="B329" s="52" t="s">
        <v>668</v>
      </c>
      <c r="C329" s="52" t="s">
        <v>36</v>
      </c>
      <c r="D329" s="53">
        <v>1636347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1636347</v>
      </c>
      <c r="M329" s="53">
        <v>1345142</v>
      </c>
      <c r="N329" s="52" t="s">
        <v>30</v>
      </c>
      <c r="O329" s="52" t="s">
        <v>18</v>
      </c>
      <c r="P329" s="52" t="s">
        <v>16</v>
      </c>
    </row>
    <row r="330" spans="1:16" ht="15" customHeight="1" x14ac:dyDescent="0.35">
      <c r="A330" s="50" t="s">
        <v>669</v>
      </c>
      <c r="B330" s="50" t="s">
        <v>670</v>
      </c>
      <c r="C330" s="50" t="s">
        <v>36</v>
      </c>
      <c r="D330" s="51">
        <v>121262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121262</v>
      </c>
      <c r="M330" s="51">
        <v>0</v>
      </c>
      <c r="N330" s="50" t="s">
        <v>30</v>
      </c>
      <c r="O330" s="50" t="s">
        <v>18</v>
      </c>
      <c r="P330" s="50" t="s">
        <v>16</v>
      </c>
    </row>
    <row r="331" spans="1:16" ht="15" customHeight="1" x14ac:dyDescent="0.35">
      <c r="A331" s="52" t="s">
        <v>671</v>
      </c>
      <c r="B331" s="52" t="s">
        <v>672</v>
      </c>
      <c r="C331" s="52" t="s">
        <v>36</v>
      </c>
      <c r="D331" s="53">
        <v>287688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287688</v>
      </c>
      <c r="M331" s="53">
        <v>0</v>
      </c>
      <c r="N331" s="52" t="s">
        <v>23</v>
      </c>
      <c r="O331" s="52" t="s">
        <v>27</v>
      </c>
      <c r="P331" s="52" t="s">
        <v>16</v>
      </c>
    </row>
    <row r="332" spans="1:16" ht="15" customHeight="1" x14ac:dyDescent="0.35">
      <c r="A332" s="50" t="s">
        <v>673</v>
      </c>
      <c r="B332" s="50" t="s">
        <v>674</v>
      </c>
      <c r="C332" s="50" t="s">
        <v>36</v>
      </c>
      <c r="D332" s="51">
        <v>0</v>
      </c>
      <c r="E332" s="51">
        <v>0</v>
      </c>
      <c r="F332" s="51">
        <v>361062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361062</v>
      </c>
      <c r="M332" s="51">
        <v>0</v>
      </c>
      <c r="N332" s="50" t="s">
        <v>26</v>
      </c>
      <c r="O332" s="50" t="s">
        <v>27</v>
      </c>
      <c r="P332" s="50" t="s">
        <v>18</v>
      </c>
    </row>
    <row r="333" spans="1:16" ht="15" customHeight="1" x14ac:dyDescent="0.35">
      <c r="A333" s="52" t="s">
        <v>675</v>
      </c>
      <c r="B333" s="52" t="s">
        <v>676</v>
      </c>
      <c r="C333" s="52" t="s">
        <v>36</v>
      </c>
      <c r="D333" s="53">
        <v>0</v>
      </c>
      <c r="E333" s="53">
        <v>316494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316494</v>
      </c>
      <c r="M333" s="53">
        <v>0</v>
      </c>
      <c r="N333" s="52" t="s">
        <v>26</v>
      </c>
      <c r="O333" s="52" t="s">
        <v>18</v>
      </c>
      <c r="P333" s="52" t="s">
        <v>16</v>
      </c>
    </row>
    <row r="334" spans="1:16" ht="15" customHeight="1" x14ac:dyDescent="0.35">
      <c r="A334" s="50" t="s">
        <v>677</v>
      </c>
      <c r="B334" s="50" t="s">
        <v>678</v>
      </c>
      <c r="C334" s="50" t="s">
        <v>36</v>
      </c>
      <c r="D334" s="51">
        <v>0</v>
      </c>
      <c r="E334" s="51">
        <v>0</v>
      </c>
      <c r="F334" s="51">
        <v>3840007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3840007</v>
      </c>
      <c r="M334" s="51">
        <v>0</v>
      </c>
      <c r="N334" s="50" t="s">
        <v>30</v>
      </c>
      <c r="O334" s="50" t="s">
        <v>27</v>
      </c>
      <c r="P334" s="50" t="s">
        <v>18</v>
      </c>
    </row>
    <row r="335" spans="1:16" ht="15" customHeight="1" x14ac:dyDescent="0.35">
      <c r="A335" s="52" t="s">
        <v>679</v>
      </c>
      <c r="B335" s="52" t="s">
        <v>680</v>
      </c>
      <c r="C335" s="52" t="s">
        <v>36</v>
      </c>
      <c r="D335" s="53">
        <v>68268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68268</v>
      </c>
      <c r="M335" s="53">
        <v>0</v>
      </c>
      <c r="N335" s="52" t="s">
        <v>30</v>
      </c>
      <c r="O335" s="52" t="s">
        <v>18</v>
      </c>
      <c r="P335" s="52" t="s">
        <v>16</v>
      </c>
    </row>
    <row r="336" spans="1:16" ht="15" customHeight="1" x14ac:dyDescent="0.35">
      <c r="A336" s="50" t="s">
        <v>681</v>
      </c>
      <c r="B336" s="50" t="s">
        <v>682</v>
      </c>
      <c r="C336" s="50" t="s">
        <v>36</v>
      </c>
      <c r="D336" s="51">
        <v>547524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547524</v>
      </c>
      <c r="M336" s="51">
        <v>0</v>
      </c>
      <c r="N336" s="50" t="s">
        <v>30</v>
      </c>
      <c r="O336" s="50" t="s">
        <v>18</v>
      </c>
      <c r="P336" s="50" t="s">
        <v>16</v>
      </c>
    </row>
    <row r="337" spans="1:16" ht="15" customHeight="1" x14ac:dyDescent="0.35">
      <c r="A337" s="52" t="s">
        <v>683</v>
      </c>
      <c r="B337" s="52" t="s">
        <v>684</v>
      </c>
      <c r="C337" s="52" t="s">
        <v>38</v>
      </c>
      <c r="D337" s="53">
        <v>0</v>
      </c>
      <c r="E337" s="53">
        <v>12709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12709</v>
      </c>
      <c r="M337" s="53">
        <v>0</v>
      </c>
      <c r="N337" s="52" t="s">
        <v>30</v>
      </c>
      <c r="O337" s="52" t="s">
        <v>18</v>
      </c>
      <c r="P337" s="52" t="s">
        <v>16</v>
      </c>
    </row>
    <row r="338" spans="1:16" ht="15" customHeight="1" x14ac:dyDescent="0.35">
      <c r="A338" s="50" t="s">
        <v>685</v>
      </c>
      <c r="B338" s="50" t="s">
        <v>686</v>
      </c>
      <c r="C338" s="50" t="s">
        <v>36</v>
      </c>
      <c r="D338" s="51">
        <v>486926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486926</v>
      </c>
      <c r="M338" s="51">
        <v>0</v>
      </c>
      <c r="N338" s="50" t="s">
        <v>30</v>
      </c>
      <c r="O338" s="50" t="s">
        <v>27</v>
      </c>
      <c r="P338" s="50" t="s">
        <v>16</v>
      </c>
    </row>
    <row r="339" spans="1:16" ht="15" customHeight="1" x14ac:dyDescent="0.35">
      <c r="A339" s="52" t="s">
        <v>803</v>
      </c>
      <c r="B339" s="52" t="s">
        <v>804</v>
      </c>
      <c r="C339" s="52" t="s">
        <v>36</v>
      </c>
      <c r="D339" s="53">
        <v>609701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609701</v>
      </c>
      <c r="M339" s="53">
        <v>0</v>
      </c>
      <c r="N339" s="50" t="s">
        <v>30</v>
      </c>
      <c r="O339" s="52" t="s">
        <v>27</v>
      </c>
      <c r="P339" s="52" t="s">
        <v>16</v>
      </c>
    </row>
    <row r="340" spans="1:16" ht="15" customHeight="1" x14ac:dyDescent="0.35">
      <c r="A340" s="50" t="s">
        <v>687</v>
      </c>
      <c r="B340" s="50" t="s">
        <v>688</v>
      </c>
      <c r="C340" s="50" t="s">
        <v>36</v>
      </c>
      <c r="D340" s="51">
        <v>37635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37635</v>
      </c>
      <c r="M340" s="51">
        <v>37636</v>
      </c>
      <c r="N340" s="50" t="s">
        <v>26</v>
      </c>
      <c r="O340" s="50" t="s">
        <v>18</v>
      </c>
      <c r="P340" s="50" t="s">
        <v>16</v>
      </c>
    </row>
    <row r="341" spans="1:16" ht="15" customHeight="1" x14ac:dyDescent="0.35">
      <c r="A341" s="52" t="s">
        <v>689</v>
      </c>
      <c r="B341" s="52" t="s">
        <v>690</v>
      </c>
      <c r="C341" s="52" t="s">
        <v>36</v>
      </c>
      <c r="D341" s="53">
        <v>84997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84997</v>
      </c>
      <c r="M341" s="53">
        <v>0</v>
      </c>
      <c r="N341" s="52" t="s">
        <v>30</v>
      </c>
      <c r="O341" s="52" t="s">
        <v>18</v>
      </c>
      <c r="P341" s="52" t="s">
        <v>16</v>
      </c>
    </row>
    <row r="342" spans="1:16" ht="15" customHeight="1" x14ac:dyDescent="0.35">
      <c r="A342" s="50" t="s">
        <v>691</v>
      </c>
      <c r="B342" s="50" t="s">
        <v>692</v>
      </c>
      <c r="C342" s="50" t="s">
        <v>36</v>
      </c>
      <c r="D342" s="51">
        <v>122316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122316</v>
      </c>
      <c r="M342" s="51">
        <v>0</v>
      </c>
      <c r="N342" s="50" t="s">
        <v>26</v>
      </c>
      <c r="O342" s="50" t="s">
        <v>18</v>
      </c>
      <c r="P342" s="50" t="s">
        <v>16</v>
      </c>
    </row>
    <row r="343" spans="1:16" ht="15" customHeight="1" x14ac:dyDescent="0.35">
      <c r="A343" s="52" t="s">
        <v>693</v>
      </c>
      <c r="B343" s="52" t="s">
        <v>694</v>
      </c>
      <c r="C343" s="52" t="s">
        <v>36</v>
      </c>
      <c r="D343" s="53">
        <v>311591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311591</v>
      </c>
      <c r="M343" s="53">
        <v>0</v>
      </c>
      <c r="N343" s="52" t="s">
        <v>30</v>
      </c>
      <c r="O343" s="52" t="s">
        <v>18</v>
      </c>
      <c r="P343" s="52" t="s">
        <v>16</v>
      </c>
    </row>
    <row r="344" spans="1:16" ht="15" customHeight="1" x14ac:dyDescent="0.35">
      <c r="A344" s="50" t="s">
        <v>695</v>
      </c>
      <c r="B344" s="50" t="s">
        <v>696</v>
      </c>
      <c r="C344" s="50" t="s">
        <v>36</v>
      </c>
      <c r="D344" s="51">
        <v>0</v>
      </c>
      <c r="E344" s="51">
        <v>0</v>
      </c>
      <c r="F344" s="51">
        <v>49748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49748</v>
      </c>
      <c r="M344" s="51">
        <v>0</v>
      </c>
      <c r="N344" s="50" t="s">
        <v>30</v>
      </c>
      <c r="O344" s="50" t="s">
        <v>22</v>
      </c>
      <c r="P344" s="50" t="s">
        <v>18</v>
      </c>
    </row>
    <row r="345" spans="1:16" ht="15" customHeight="1" x14ac:dyDescent="0.35">
      <c r="A345" s="52" t="s">
        <v>697</v>
      </c>
      <c r="B345" s="52" t="s">
        <v>698</v>
      </c>
      <c r="C345" s="52" t="s">
        <v>36</v>
      </c>
      <c r="D345" s="53">
        <v>390095</v>
      </c>
      <c r="E345" s="53">
        <v>145026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535121</v>
      </c>
      <c r="M345" s="53">
        <v>0</v>
      </c>
      <c r="N345" s="52" t="s">
        <v>30</v>
      </c>
      <c r="O345" s="52" t="s">
        <v>18</v>
      </c>
      <c r="P345" s="52" t="s">
        <v>16</v>
      </c>
    </row>
    <row r="346" spans="1:16" ht="15" customHeight="1" x14ac:dyDescent="0.35">
      <c r="A346" s="50" t="s">
        <v>699</v>
      </c>
      <c r="B346" s="50" t="s">
        <v>700</v>
      </c>
      <c r="C346" s="50" t="s">
        <v>36</v>
      </c>
      <c r="D346" s="51">
        <v>309461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309461</v>
      </c>
      <c r="M346" s="51">
        <v>0</v>
      </c>
      <c r="N346" s="50" t="s">
        <v>30</v>
      </c>
      <c r="O346" s="50" t="s">
        <v>18</v>
      </c>
      <c r="P346" s="50" t="s">
        <v>16</v>
      </c>
    </row>
    <row r="347" spans="1:16" ht="15" customHeight="1" x14ac:dyDescent="0.35">
      <c r="A347" s="52" t="s">
        <v>701</v>
      </c>
      <c r="B347" s="52" t="s">
        <v>702</v>
      </c>
      <c r="C347" s="52" t="s">
        <v>36</v>
      </c>
      <c r="D347" s="53">
        <v>665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665</v>
      </c>
      <c r="M347" s="53">
        <v>0</v>
      </c>
      <c r="N347" s="52" t="s">
        <v>30</v>
      </c>
      <c r="O347" s="52" t="s">
        <v>18</v>
      </c>
      <c r="P347" s="52" t="s">
        <v>16</v>
      </c>
    </row>
    <row r="348" spans="1:16" ht="15" customHeight="1" x14ac:dyDescent="0.35">
      <c r="A348" s="50" t="s">
        <v>703</v>
      </c>
      <c r="B348" s="50" t="s">
        <v>704</v>
      </c>
      <c r="C348" s="50" t="s">
        <v>36</v>
      </c>
      <c r="D348" s="51">
        <v>1021482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1021482</v>
      </c>
      <c r="M348" s="51">
        <v>0</v>
      </c>
      <c r="N348" s="50" t="s">
        <v>30</v>
      </c>
      <c r="O348" s="50" t="s">
        <v>18</v>
      </c>
      <c r="P348" s="50" t="s">
        <v>16</v>
      </c>
    </row>
    <row r="349" spans="1:16" ht="15" customHeight="1" x14ac:dyDescent="0.35">
      <c r="A349" s="52" t="s">
        <v>705</v>
      </c>
      <c r="B349" s="52" t="s">
        <v>706</v>
      </c>
      <c r="C349" s="52" t="s">
        <v>36</v>
      </c>
      <c r="D349" s="53">
        <v>0</v>
      </c>
      <c r="E349" s="53">
        <v>258488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258488</v>
      </c>
      <c r="M349" s="53">
        <v>258488</v>
      </c>
      <c r="N349" s="52" t="s">
        <v>23</v>
      </c>
      <c r="O349" s="52" t="s">
        <v>27</v>
      </c>
      <c r="P349" s="52" t="s">
        <v>16</v>
      </c>
    </row>
    <row r="350" spans="1:16" ht="15" customHeight="1" x14ac:dyDescent="0.35">
      <c r="A350" s="50" t="s">
        <v>707</v>
      </c>
      <c r="B350" s="50" t="s">
        <v>708</v>
      </c>
      <c r="C350" s="50" t="s">
        <v>36</v>
      </c>
      <c r="D350" s="51">
        <v>0</v>
      </c>
      <c r="E350" s="51">
        <v>24708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24708</v>
      </c>
      <c r="M350" s="51">
        <v>0</v>
      </c>
      <c r="N350" s="50" t="s">
        <v>23</v>
      </c>
      <c r="O350" s="50" t="s">
        <v>18</v>
      </c>
      <c r="P350" s="50" t="s">
        <v>16</v>
      </c>
    </row>
    <row r="351" spans="1:16" ht="15" customHeight="1" x14ac:dyDescent="0.35">
      <c r="A351" s="52" t="s">
        <v>709</v>
      </c>
      <c r="B351" s="52" t="s">
        <v>710</v>
      </c>
      <c r="C351" s="52" t="s">
        <v>36</v>
      </c>
      <c r="D351" s="53">
        <v>0</v>
      </c>
      <c r="E351" s="53">
        <v>1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1</v>
      </c>
      <c r="M351" s="53">
        <v>0</v>
      </c>
      <c r="N351" s="52" t="s">
        <v>29</v>
      </c>
      <c r="O351" s="52" t="s">
        <v>21</v>
      </c>
      <c r="P351" s="52" t="s">
        <v>16</v>
      </c>
    </row>
    <row r="352" spans="1:16" ht="15" customHeight="1" x14ac:dyDescent="0.35">
      <c r="A352" s="50" t="s">
        <v>711</v>
      </c>
      <c r="B352" s="50" t="s">
        <v>712</v>
      </c>
      <c r="C352" s="50" t="s">
        <v>36</v>
      </c>
      <c r="D352" s="51">
        <v>299119</v>
      </c>
      <c r="E352" s="51">
        <v>199088</v>
      </c>
      <c r="F352" s="51">
        <v>398175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896382</v>
      </c>
      <c r="M352" s="51">
        <v>0</v>
      </c>
      <c r="N352" s="50" t="s">
        <v>23</v>
      </c>
      <c r="O352" s="50" t="s">
        <v>27</v>
      </c>
      <c r="P352" s="50" t="s">
        <v>16</v>
      </c>
    </row>
    <row r="353" spans="1:16" ht="15" customHeight="1" x14ac:dyDescent="0.35">
      <c r="A353" s="52" t="s">
        <v>713</v>
      </c>
      <c r="B353" s="52" t="s">
        <v>714</v>
      </c>
      <c r="C353" s="52" t="s">
        <v>36</v>
      </c>
      <c r="D353" s="53">
        <v>436411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436411</v>
      </c>
      <c r="M353" s="53">
        <v>0</v>
      </c>
      <c r="N353" s="52" t="s">
        <v>23</v>
      </c>
      <c r="O353" s="52" t="s">
        <v>18</v>
      </c>
      <c r="P353" s="52" t="s">
        <v>16</v>
      </c>
    </row>
    <row r="354" spans="1:16" ht="15" customHeight="1" x14ac:dyDescent="0.35">
      <c r="A354" s="50" t="s">
        <v>715</v>
      </c>
      <c r="B354" s="50" t="s">
        <v>716</v>
      </c>
      <c r="C354" s="50" t="s">
        <v>36</v>
      </c>
      <c r="D354" s="51">
        <v>53508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53508</v>
      </c>
      <c r="M354" s="51">
        <v>0</v>
      </c>
      <c r="N354" s="50" t="s">
        <v>23</v>
      </c>
      <c r="O354" s="50" t="s">
        <v>18</v>
      </c>
      <c r="P354" s="50" t="s">
        <v>16</v>
      </c>
    </row>
    <row r="355" spans="1:16" ht="15" customHeight="1" x14ac:dyDescent="0.35">
      <c r="A355" s="52" t="s">
        <v>717</v>
      </c>
      <c r="B355" s="52" t="s">
        <v>718</v>
      </c>
      <c r="C355" s="52" t="s">
        <v>36</v>
      </c>
      <c r="D355" s="53">
        <v>0</v>
      </c>
      <c r="E355" s="53">
        <v>0</v>
      </c>
      <c r="F355" s="53">
        <v>543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543</v>
      </c>
      <c r="M355" s="53">
        <v>0</v>
      </c>
      <c r="N355" s="52" t="s">
        <v>23</v>
      </c>
      <c r="O355" s="52" t="s">
        <v>18</v>
      </c>
      <c r="P355" s="52" t="s">
        <v>18</v>
      </c>
    </row>
    <row r="356" spans="1:16" ht="15" customHeight="1" x14ac:dyDescent="0.35">
      <c r="A356" s="50" t="s">
        <v>719</v>
      </c>
      <c r="B356" s="50" t="s">
        <v>719</v>
      </c>
      <c r="C356" s="50" t="s">
        <v>40</v>
      </c>
      <c r="D356" s="51">
        <v>0</v>
      </c>
      <c r="E356" s="51">
        <v>1085670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1085670</v>
      </c>
      <c r="M356" s="51">
        <v>0</v>
      </c>
      <c r="N356" s="50" t="s">
        <v>17</v>
      </c>
      <c r="O356" s="50" t="s">
        <v>19</v>
      </c>
      <c r="P356" s="50" t="s">
        <v>19</v>
      </c>
    </row>
    <row r="357" spans="1:16" ht="15" customHeight="1" x14ac:dyDescent="0.35">
      <c r="A357" s="52" t="s">
        <v>720</v>
      </c>
      <c r="B357" s="52" t="s">
        <v>721</v>
      </c>
      <c r="C357" s="52" t="s">
        <v>36</v>
      </c>
      <c r="D357" s="53">
        <v>312188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312188</v>
      </c>
      <c r="M357" s="53">
        <v>0</v>
      </c>
      <c r="N357" s="52" t="s">
        <v>30</v>
      </c>
      <c r="O357" s="52" t="s">
        <v>25</v>
      </c>
      <c r="P357" s="52" t="s">
        <v>16</v>
      </c>
    </row>
    <row r="358" spans="1:16" ht="15" customHeight="1" x14ac:dyDescent="0.35">
      <c r="A358" s="50" t="s">
        <v>722</v>
      </c>
      <c r="B358" s="50" t="s">
        <v>723</v>
      </c>
      <c r="C358" s="50" t="s">
        <v>36</v>
      </c>
      <c r="D358" s="51">
        <v>0</v>
      </c>
      <c r="E358" s="51">
        <v>597500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597500</v>
      </c>
      <c r="M358" s="51">
        <v>572510</v>
      </c>
      <c r="N358" s="50" t="s">
        <v>30</v>
      </c>
      <c r="O358" s="50" t="s">
        <v>18</v>
      </c>
      <c r="P358" s="50" t="s">
        <v>16</v>
      </c>
    </row>
    <row r="359" spans="1:16" ht="15" customHeight="1" x14ac:dyDescent="0.35">
      <c r="A359" s="52" t="s">
        <v>724</v>
      </c>
      <c r="B359" s="52" t="s">
        <v>725</v>
      </c>
      <c r="C359" s="52" t="s">
        <v>36</v>
      </c>
      <c r="D359" s="53">
        <v>12307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12307</v>
      </c>
      <c r="M359" s="53">
        <v>12307</v>
      </c>
      <c r="N359" s="52" t="s">
        <v>26</v>
      </c>
      <c r="O359" s="52" t="s">
        <v>18</v>
      </c>
      <c r="P359" s="52" t="s">
        <v>16</v>
      </c>
    </row>
    <row r="360" spans="1:16" ht="15" customHeight="1" x14ac:dyDescent="0.35">
      <c r="A360" s="50" t="s">
        <v>726</v>
      </c>
      <c r="B360" s="50" t="s">
        <v>727</v>
      </c>
      <c r="C360" s="50" t="s">
        <v>36</v>
      </c>
      <c r="D360" s="51">
        <v>808125</v>
      </c>
      <c r="E360" s="51">
        <v>51742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859867</v>
      </c>
      <c r="M360" s="51">
        <v>0</v>
      </c>
      <c r="N360" s="50" t="s">
        <v>30</v>
      </c>
      <c r="O360" s="50" t="s">
        <v>27</v>
      </c>
      <c r="P360" s="50" t="s">
        <v>16</v>
      </c>
    </row>
    <row r="361" spans="1:16" ht="15" customHeight="1" x14ac:dyDescent="0.35">
      <c r="A361" s="52" t="s">
        <v>728</v>
      </c>
      <c r="B361" s="52" t="s">
        <v>729</v>
      </c>
      <c r="C361" s="52" t="s">
        <v>36</v>
      </c>
      <c r="D361" s="53">
        <v>3325100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3325100</v>
      </c>
      <c r="M361" s="53">
        <v>0</v>
      </c>
      <c r="N361" s="52" t="s">
        <v>30</v>
      </c>
      <c r="O361" s="52" t="s">
        <v>18</v>
      </c>
      <c r="P361" s="52" t="s">
        <v>16</v>
      </c>
    </row>
    <row r="362" spans="1:16" ht="15" customHeight="1" x14ac:dyDescent="0.35">
      <c r="A362" s="50" t="s">
        <v>730</v>
      </c>
      <c r="B362" s="50" t="s">
        <v>731</v>
      </c>
      <c r="C362" s="50" t="s">
        <v>36</v>
      </c>
      <c r="D362" s="51">
        <v>6789980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6789980</v>
      </c>
      <c r="M362" s="51">
        <v>0</v>
      </c>
      <c r="N362" s="50" t="s">
        <v>23</v>
      </c>
      <c r="O362" s="50" t="s">
        <v>27</v>
      </c>
      <c r="P362" s="50" t="s">
        <v>16</v>
      </c>
    </row>
    <row r="363" spans="1:16" ht="15" customHeight="1" x14ac:dyDescent="0.35">
      <c r="A363" s="52" t="s">
        <v>732</v>
      </c>
      <c r="B363" s="52" t="s">
        <v>733</v>
      </c>
      <c r="C363" s="52" t="s">
        <v>36</v>
      </c>
      <c r="D363" s="53">
        <v>0</v>
      </c>
      <c r="E363" s="53">
        <v>347591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347591</v>
      </c>
      <c r="M363" s="53">
        <v>269772</v>
      </c>
      <c r="N363" s="52" t="s">
        <v>30</v>
      </c>
      <c r="O363" s="52" t="s">
        <v>18</v>
      </c>
      <c r="P363" s="52" t="s">
        <v>16</v>
      </c>
    </row>
    <row r="364" spans="1:16" ht="15" customHeight="1" x14ac:dyDescent="0.35">
      <c r="A364" s="50" t="s">
        <v>734</v>
      </c>
      <c r="B364" s="50" t="s">
        <v>735</v>
      </c>
      <c r="C364" s="50" t="s">
        <v>36</v>
      </c>
      <c r="D364" s="51">
        <v>576128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576128</v>
      </c>
      <c r="M364" s="51">
        <v>0</v>
      </c>
      <c r="N364" s="50" t="s">
        <v>30</v>
      </c>
      <c r="O364" s="50" t="s">
        <v>22</v>
      </c>
      <c r="P364" s="50" t="s">
        <v>16</v>
      </c>
    </row>
    <row r="365" spans="1:16" ht="15" customHeight="1" x14ac:dyDescent="0.35">
      <c r="A365" s="52" t="s">
        <v>736</v>
      </c>
      <c r="B365" s="52" t="s">
        <v>737</v>
      </c>
      <c r="C365" s="52" t="s">
        <v>36</v>
      </c>
      <c r="D365" s="53">
        <v>166035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166035</v>
      </c>
      <c r="M365" s="53">
        <v>0</v>
      </c>
      <c r="N365" s="52" t="s">
        <v>26</v>
      </c>
      <c r="O365" s="52" t="s">
        <v>18</v>
      </c>
      <c r="P365" s="52" t="s">
        <v>16</v>
      </c>
    </row>
    <row r="366" spans="1:16" ht="15" customHeight="1" x14ac:dyDescent="0.35">
      <c r="A366" s="50" t="s">
        <v>738</v>
      </c>
      <c r="B366" s="50" t="s">
        <v>739</v>
      </c>
      <c r="C366" s="50" t="s">
        <v>38</v>
      </c>
      <c r="D366" s="51">
        <v>710257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710257</v>
      </c>
      <c r="M366" s="51">
        <v>0</v>
      </c>
      <c r="N366" s="50" t="s">
        <v>30</v>
      </c>
      <c r="O366" s="50" t="s">
        <v>19</v>
      </c>
      <c r="P366" s="50" t="s">
        <v>19</v>
      </c>
    </row>
    <row r="367" spans="1:16" ht="15" customHeight="1" x14ac:dyDescent="0.35">
      <c r="A367" s="52" t="s">
        <v>740</v>
      </c>
      <c r="B367" s="52" t="s">
        <v>741</v>
      </c>
      <c r="C367" s="52" t="s">
        <v>36</v>
      </c>
      <c r="D367" s="53">
        <v>671224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671224</v>
      </c>
      <c r="M367" s="53">
        <v>0</v>
      </c>
      <c r="N367" s="52" t="s">
        <v>30</v>
      </c>
      <c r="O367" s="52" t="s">
        <v>18</v>
      </c>
      <c r="P367" s="52" t="s">
        <v>16</v>
      </c>
    </row>
    <row r="368" spans="1:16" ht="15" customHeight="1" x14ac:dyDescent="0.35">
      <c r="A368" s="50" t="s">
        <v>742</v>
      </c>
      <c r="B368" s="50" t="s">
        <v>742</v>
      </c>
      <c r="C368" s="50" t="s">
        <v>36</v>
      </c>
      <c r="D368" s="51">
        <v>0</v>
      </c>
      <c r="E368" s="51">
        <v>0</v>
      </c>
      <c r="F368" s="51">
        <v>0</v>
      </c>
      <c r="G368" s="51">
        <v>122512</v>
      </c>
      <c r="H368" s="51">
        <v>0</v>
      </c>
      <c r="I368" s="51">
        <v>0</v>
      </c>
      <c r="J368" s="51">
        <v>0</v>
      </c>
      <c r="K368" s="51">
        <v>0</v>
      </c>
      <c r="L368" s="51">
        <v>122512</v>
      </c>
      <c r="M368" s="51">
        <v>0</v>
      </c>
      <c r="N368" s="50" t="s">
        <v>32</v>
      </c>
      <c r="O368" s="50" t="s">
        <v>19</v>
      </c>
      <c r="P368" s="50" t="s">
        <v>19</v>
      </c>
    </row>
    <row r="369" spans="1:16" ht="15" customHeight="1" x14ac:dyDescent="0.35">
      <c r="A369" s="52" t="s">
        <v>743</v>
      </c>
      <c r="B369" s="52" t="s">
        <v>744</v>
      </c>
      <c r="C369" s="52" t="s">
        <v>36</v>
      </c>
      <c r="D369" s="53">
        <v>72576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72576</v>
      </c>
      <c r="M369" s="53">
        <v>0</v>
      </c>
      <c r="N369" s="52" t="s">
        <v>30</v>
      </c>
      <c r="O369" s="52" t="s">
        <v>18</v>
      </c>
      <c r="P369" s="52" t="s">
        <v>16</v>
      </c>
    </row>
    <row r="370" spans="1:16" ht="15" customHeight="1" x14ac:dyDescent="0.35">
      <c r="A370" s="50" t="s">
        <v>745</v>
      </c>
      <c r="B370" s="50" t="s">
        <v>746</v>
      </c>
      <c r="C370" s="50" t="s">
        <v>38</v>
      </c>
      <c r="D370" s="51">
        <v>656138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656138</v>
      </c>
      <c r="M370" s="51">
        <v>0</v>
      </c>
      <c r="N370" s="50" t="s">
        <v>30</v>
      </c>
      <c r="O370" s="50" t="s">
        <v>25</v>
      </c>
      <c r="P370" s="50" t="s">
        <v>16</v>
      </c>
    </row>
    <row r="371" spans="1:16" ht="15" customHeight="1" x14ac:dyDescent="0.35">
      <c r="A371" s="52" t="s">
        <v>747</v>
      </c>
      <c r="B371" s="52" t="s">
        <v>748</v>
      </c>
      <c r="C371" s="52" t="s">
        <v>36</v>
      </c>
      <c r="D371" s="53">
        <v>63920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63920</v>
      </c>
      <c r="M371" s="53">
        <v>0</v>
      </c>
      <c r="N371" s="52" t="s">
        <v>23</v>
      </c>
      <c r="O371" s="52" t="s">
        <v>18</v>
      </c>
      <c r="P371" s="52" t="s">
        <v>16</v>
      </c>
    </row>
    <row r="372" spans="1:16" ht="15" customHeight="1" x14ac:dyDescent="0.35">
      <c r="A372" s="50" t="s">
        <v>749</v>
      </c>
      <c r="B372" s="50" t="s">
        <v>750</v>
      </c>
      <c r="C372" s="50" t="s">
        <v>36</v>
      </c>
      <c r="D372" s="51">
        <v>138353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138353</v>
      </c>
      <c r="M372" s="51">
        <v>0</v>
      </c>
      <c r="N372" s="50" t="s">
        <v>30</v>
      </c>
      <c r="O372" s="50" t="s">
        <v>18</v>
      </c>
      <c r="P372" s="50" t="s">
        <v>16</v>
      </c>
    </row>
    <row r="373" spans="1:16" ht="15" customHeight="1" x14ac:dyDescent="0.35">
      <c r="A373" s="52" t="s">
        <v>751</v>
      </c>
      <c r="B373" s="52" t="s">
        <v>752</v>
      </c>
      <c r="C373" s="52" t="s">
        <v>36</v>
      </c>
      <c r="D373" s="53">
        <v>28993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28993</v>
      </c>
      <c r="M373" s="53">
        <v>0</v>
      </c>
      <c r="N373" s="52" t="s">
        <v>30</v>
      </c>
      <c r="O373" s="52" t="s">
        <v>18</v>
      </c>
      <c r="P373" s="52" t="s">
        <v>16</v>
      </c>
    </row>
    <row r="374" spans="1:16" ht="15" customHeight="1" x14ac:dyDescent="0.35">
      <c r="A374" s="50" t="s">
        <v>753</v>
      </c>
      <c r="B374" s="50" t="s">
        <v>754</v>
      </c>
      <c r="C374" s="50" t="s">
        <v>36</v>
      </c>
      <c r="D374" s="51">
        <v>59277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59277</v>
      </c>
      <c r="M374" s="51">
        <v>0</v>
      </c>
      <c r="N374" s="50" t="s">
        <v>30</v>
      </c>
      <c r="O374" s="50" t="s">
        <v>18</v>
      </c>
      <c r="P374" s="50" t="s">
        <v>16</v>
      </c>
    </row>
    <row r="375" spans="1:16" ht="15" customHeight="1" x14ac:dyDescent="0.35">
      <c r="A375" s="52" t="s">
        <v>755</v>
      </c>
      <c r="B375" s="52" t="s">
        <v>756</v>
      </c>
      <c r="C375" s="52" t="s">
        <v>36</v>
      </c>
      <c r="D375" s="53">
        <v>1493865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1493865</v>
      </c>
      <c r="M375" s="53">
        <v>1493865</v>
      </c>
      <c r="N375" s="52" t="s">
        <v>30</v>
      </c>
      <c r="O375" s="52" t="s">
        <v>18</v>
      </c>
      <c r="P375" s="52" t="s">
        <v>16</v>
      </c>
    </row>
    <row r="376" spans="1:16" ht="15" customHeight="1" x14ac:dyDescent="0.35">
      <c r="A376" s="50" t="s">
        <v>757</v>
      </c>
      <c r="B376" s="50" t="s">
        <v>758</v>
      </c>
      <c r="C376" s="50" t="s">
        <v>36</v>
      </c>
      <c r="D376" s="51">
        <v>31934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31934</v>
      </c>
      <c r="M376" s="51">
        <v>0</v>
      </c>
      <c r="N376" s="50" t="s">
        <v>30</v>
      </c>
      <c r="O376" s="50" t="s">
        <v>18</v>
      </c>
      <c r="P376" s="50" t="s">
        <v>16</v>
      </c>
    </row>
    <row r="377" spans="1:16" ht="15" customHeight="1" x14ac:dyDescent="0.35">
      <c r="A377" s="52" t="s">
        <v>759</v>
      </c>
      <c r="B377" s="52" t="s">
        <v>760</v>
      </c>
      <c r="C377" s="52" t="s">
        <v>36</v>
      </c>
      <c r="D377" s="53">
        <v>573093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573093</v>
      </c>
      <c r="M377" s="53">
        <v>647230</v>
      </c>
      <c r="N377" s="52" t="s">
        <v>30</v>
      </c>
      <c r="O377" s="52" t="s">
        <v>18</v>
      </c>
      <c r="P377" s="52" t="s">
        <v>16</v>
      </c>
    </row>
    <row r="378" spans="1:16" ht="15" customHeight="1" x14ac:dyDescent="0.35">
      <c r="A378" s="50" t="s">
        <v>761</v>
      </c>
      <c r="B378" s="50" t="s">
        <v>762</v>
      </c>
      <c r="C378" s="50" t="s">
        <v>36</v>
      </c>
      <c r="D378" s="51">
        <v>68577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68577</v>
      </c>
      <c r="M378" s="51">
        <v>0</v>
      </c>
      <c r="N378" s="50" t="s">
        <v>26</v>
      </c>
      <c r="O378" s="50" t="s">
        <v>18</v>
      </c>
      <c r="P378" s="50" t="s">
        <v>16</v>
      </c>
    </row>
    <row r="379" spans="1:16" ht="15" customHeight="1" x14ac:dyDescent="0.35">
      <c r="A379" s="52" t="s">
        <v>763</v>
      </c>
      <c r="B379" s="52" t="s">
        <v>764</v>
      </c>
      <c r="C379" s="52" t="s">
        <v>36</v>
      </c>
      <c r="D379" s="53">
        <v>2324993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2324993</v>
      </c>
      <c r="M379" s="53">
        <v>2371684</v>
      </c>
      <c r="N379" s="52" t="s">
        <v>26</v>
      </c>
      <c r="O379" s="52" t="s">
        <v>18</v>
      </c>
      <c r="P379" s="52" t="s">
        <v>16</v>
      </c>
    </row>
    <row r="380" spans="1:16" ht="15" customHeight="1" x14ac:dyDescent="0.35">
      <c r="A380" s="50" t="s">
        <v>765</v>
      </c>
      <c r="B380" s="50" t="s">
        <v>766</v>
      </c>
      <c r="C380" s="50" t="s">
        <v>36</v>
      </c>
      <c r="D380" s="51">
        <v>1619331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1619331</v>
      </c>
      <c r="M380" s="51">
        <v>791129</v>
      </c>
      <c r="N380" s="50" t="s">
        <v>30</v>
      </c>
      <c r="O380" s="50" t="s">
        <v>18</v>
      </c>
      <c r="P380" s="50" t="s">
        <v>16</v>
      </c>
    </row>
    <row r="381" spans="1:16" ht="15" customHeight="1" x14ac:dyDescent="0.35">
      <c r="A381" s="52" t="s">
        <v>767</v>
      </c>
      <c r="B381" s="52" t="s">
        <v>768</v>
      </c>
      <c r="C381" s="52" t="s">
        <v>36</v>
      </c>
      <c r="D381" s="53">
        <v>42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42</v>
      </c>
      <c r="M381" s="53">
        <v>0</v>
      </c>
      <c r="N381" s="52" t="s">
        <v>30</v>
      </c>
      <c r="O381" s="52" t="s">
        <v>18</v>
      </c>
      <c r="P381" s="52" t="s">
        <v>16</v>
      </c>
    </row>
    <row r="382" spans="1:16" ht="15" customHeight="1" x14ac:dyDescent="0.35">
      <c r="A382" s="50" t="s">
        <v>769</v>
      </c>
      <c r="B382" s="50" t="s">
        <v>770</v>
      </c>
      <c r="C382" s="50" t="s">
        <v>36</v>
      </c>
      <c r="D382" s="51">
        <v>1739290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1739290</v>
      </c>
      <c r="M382" s="51">
        <v>1664790</v>
      </c>
      <c r="N382" s="50" t="s">
        <v>30</v>
      </c>
      <c r="O382" s="50" t="s">
        <v>18</v>
      </c>
      <c r="P382" s="50" t="s">
        <v>16</v>
      </c>
    </row>
    <row r="383" spans="1:16" ht="15" customHeight="1" x14ac:dyDescent="0.35">
      <c r="A383" s="52" t="s">
        <v>771</v>
      </c>
      <c r="B383" s="52" t="s">
        <v>772</v>
      </c>
      <c r="C383" s="52" t="s">
        <v>36</v>
      </c>
      <c r="D383" s="53">
        <v>1232720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1232720</v>
      </c>
      <c r="M383" s="53">
        <v>21837</v>
      </c>
      <c r="N383" s="52" t="s">
        <v>26</v>
      </c>
      <c r="O383" s="52" t="s">
        <v>22</v>
      </c>
      <c r="P383" s="52" t="s">
        <v>16</v>
      </c>
    </row>
    <row r="384" spans="1:16" ht="15" customHeight="1" x14ac:dyDescent="0.35">
      <c r="A384" s="50" t="s">
        <v>773</v>
      </c>
      <c r="B384" s="50" t="s">
        <v>774</v>
      </c>
      <c r="C384" s="50" t="s">
        <v>38</v>
      </c>
      <c r="D384" s="51">
        <v>2519399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2519399</v>
      </c>
      <c r="M384" s="51">
        <v>7934303.3099999996</v>
      </c>
      <c r="N384" s="50" t="s">
        <v>30</v>
      </c>
      <c r="O384" s="50" t="s">
        <v>19</v>
      </c>
      <c r="P384" s="50" t="s">
        <v>19</v>
      </c>
    </row>
    <row r="385" spans="1:16" ht="15" customHeight="1" x14ac:dyDescent="0.35">
      <c r="A385" s="52" t="s">
        <v>775</v>
      </c>
      <c r="B385" s="52" t="s">
        <v>776</v>
      </c>
      <c r="C385" s="52" t="s">
        <v>36</v>
      </c>
      <c r="D385" s="53">
        <v>1870096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1870096</v>
      </c>
      <c r="M385" s="53">
        <v>1870096</v>
      </c>
      <c r="N385" s="52" t="s">
        <v>30</v>
      </c>
      <c r="O385" s="52" t="s">
        <v>18</v>
      </c>
      <c r="P385" s="52" t="s">
        <v>16</v>
      </c>
    </row>
    <row r="386" spans="1:16" ht="15" customHeight="1" x14ac:dyDescent="0.35">
      <c r="A386" s="50" t="s">
        <v>777</v>
      </c>
      <c r="B386" s="50" t="s">
        <v>778</v>
      </c>
      <c r="C386" s="50" t="s">
        <v>36</v>
      </c>
      <c r="D386" s="51">
        <v>671956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671956</v>
      </c>
      <c r="M386" s="51">
        <v>671954</v>
      </c>
      <c r="N386" s="50" t="s">
        <v>30</v>
      </c>
      <c r="O386" s="50" t="s">
        <v>18</v>
      </c>
      <c r="P386" s="50" t="s">
        <v>16</v>
      </c>
    </row>
    <row r="387" spans="1:16" ht="15" customHeight="1" x14ac:dyDescent="0.35">
      <c r="A387" s="52" t="s">
        <v>779</v>
      </c>
      <c r="B387" s="52" t="s">
        <v>780</v>
      </c>
      <c r="C387" s="52" t="s">
        <v>36</v>
      </c>
      <c r="D387" s="53">
        <v>365185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365185</v>
      </c>
      <c r="M387" s="53">
        <v>0</v>
      </c>
      <c r="N387" s="52" t="s">
        <v>30</v>
      </c>
      <c r="O387" s="52" t="s">
        <v>18</v>
      </c>
      <c r="P387" s="52" t="s">
        <v>16</v>
      </c>
    </row>
    <row r="388" spans="1:16" ht="15" customHeight="1" x14ac:dyDescent="0.35">
      <c r="A388" s="50" t="s">
        <v>781</v>
      </c>
      <c r="B388" s="50" t="s">
        <v>782</v>
      </c>
      <c r="C388" s="50" t="s">
        <v>36</v>
      </c>
      <c r="D388" s="51">
        <v>714497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714497</v>
      </c>
      <c r="M388" s="51">
        <v>0</v>
      </c>
      <c r="N388" s="50" t="s">
        <v>30</v>
      </c>
      <c r="O388" s="50" t="s">
        <v>18</v>
      </c>
      <c r="P388" s="50" t="s">
        <v>16</v>
      </c>
    </row>
    <row r="389" spans="1:16" ht="15" customHeight="1" x14ac:dyDescent="0.35">
      <c r="A389" s="52" t="s">
        <v>783</v>
      </c>
      <c r="B389" s="52" t="s">
        <v>784</v>
      </c>
      <c r="C389" s="52" t="s">
        <v>36</v>
      </c>
      <c r="D389" s="53">
        <v>14677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14677</v>
      </c>
      <c r="M389" s="53">
        <v>0</v>
      </c>
      <c r="N389" s="52" t="s">
        <v>30</v>
      </c>
      <c r="O389" s="52" t="s">
        <v>18</v>
      </c>
      <c r="P389" s="52" t="s">
        <v>16</v>
      </c>
    </row>
    <row r="390" spans="1:16" ht="15" customHeight="1" x14ac:dyDescent="0.35">
      <c r="A390" s="50" t="s">
        <v>785</v>
      </c>
      <c r="B390" s="50" t="s">
        <v>786</v>
      </c>
      <c r="C390" s="50" t="s">
        <v>36</v>
      </c>
      <c r="D390" s="51">
        <v>136548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136548</v>
      </c>
      <c r="M390" s="51">
        <v>0</v>
      </c>
      <c r="N390" s="50" t="s">
        <v>30</v>
      </c>
      <c r="O390" s="50" t="s">
        <v>18</v>
      </c>
      <c r="P390" s="50" t="s">
        <v>16</v>
      </c>
    </row>
    <row r="391" spans="1:16" ht="15" customHeight="1" x14ac:dyDescent="0.35">
      <c r="A391" s="52" t="s">
        <v>787</v>
      </c>
      <c r="B391" s="52" t="s">
        <v>788</v>
      </c>
      <c r="C391" s="52" t="s">
        <v>36</v>
      </c>
      <c r="D391" s="53">
        <v>675592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675592</v>
      </c>
      <c r="M391" s="53">
        <v>0</v>
      </c>
      <c r="N391" s="52" t="s">
        <v>30</v>
      </c>
      <c r="O391" s="52" t="s">
        <v>18</v>
      </c>
      <c r="P391" s="52" t="s">
        <v>16</v>
      </c>
    </row>
    <row r="392" spans="1:16" ht="15" customHeight="1" x14ac:dyDescent="0.35">
      <c r="A392" s="50" t="s">
        <v>789</v>
      </c>
      <c r="B392" s="50" t="s">
        <v>790</v>
      </c>
      <c r="C392" s="50" t="s">
        <v>36</v>
      </c>
      <c r="D392" s="51">
        <v>1400010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1400010</v>
      </c>
      <c r="M392" s="51">
        <v>0</v>
      </c>
      <c r="N392" s="50" t="s">
        <v>30</v>
      </c>
      <c r="O392" s="50" t="s">
        <v>18</v>
      </c>
      <c r="P392" s="50" t="s">
        <v>16</v>
      </c>
    </row>
    <row r="393" spans="1:16" ht="15" customHeight="1" x14ac:dyDescent="0.35">
      <c r="A393" s="52" t="s">
        <v>791</v>
      </c>
      <c r="B393" s="52" t="s">
        <v>792</v>
      </c>
      <c r="C393" s="52" t="s">
        <v>36</v>
      </c>
      <c r="D393" s="53">
        <v>1072110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1072110</v>
      </c>
      <c r="M393" s="53">
        <v>1103121</v>
      </c>
      <c r="N393" s="52" t="s">
        <v>30</v>
      </c>
      <c r="O393" s="52" t="s">
        <v>18</v>
      </c>
      <c r="P393" s="52" t="s">
        <v>16</v>
      </c>
    </row>
    <row r="394" spans="1:16" ht="15" customHeight="1" x14ac:dyDescent="0.35">
      <c r="A394" s="50" t="s">
        <v>793</v>
      </c>
      <c r="B394" s="50" t="s">
        <v>794</v>
      </c>
      <c r="C394" s="50" t="s">
        <v>36</v>
      </c>
      <c r="D394" s="51">
        <v>40075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40075</v>
      </c>
      <c r="M394" s="51">
        <v>0</v>
      </c>
      <c r="N394" s="50" t="s">
        <v>30</v>
      </c>
      <c r="O394" s="50" t="s">
        <v>18</v>
      </c>
      <c r="P394" s="50" t="s">
        <v>16</v>
      </c>
    </row>
    <row r="395" spans="1:16" ht="15" customHeight="1" x14ac:dyDescent="0.35">
      <c r="A395" s="52" t="s">
        <v>795</v>
      </c>
      <c r="B395" s="52" t="s">
        <v>796</v>
      </c>
      <c r="C395" s="52" t="s">
        <v>36</v>
      </c>
      <c r="D395" s="53">
        <v>7020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7020</v>
      </c>
      <c r="M395" s="53">
        <v>0</v>
      </c>
      <c r="N395" s="52" t="s">
        <v>30</v>
      </c>
      <c r="O395" s="52" t="s">
        <v>18</v>
      </c>
      <c r="P395" s="52" t="s">
        <v>16</v>
      </c>
    </row>
    <row r="396" spans="1:16" ht="15" customHeight="1" x14ac:dyDescent="0.35">
      <c r="A396" s="50" t="s">
        <v>797</v>
      </c>
      <c r="B396" s="50" t="s">
        <v>797</v>
      </c>
      <c r="C396" s="50" t="s">
        <v>40</v>
      </c>
      <c r="D396" s="51">
        <v>0</v>
      </c>
      <c r="E396" s="51">
        <v>0</v>
      </c>
      <c r="F396" s="51">
        <v>0</v>
      </c>
      <c r="G396" s="51">
        <v>0</v>
      </c>
      <c r="H396" s="51">
        <v>14202</v>
      </c>
      <c r="I396" s="51">
        <v>0</v>
      </c>
      <c r="J396" s="51">
        <v>0</v>
      </c>
      <c r="K396" s="51">
        <v>0</v>
      </c>
      <c r="L396" s="51">
        <v>14202</v>
      </c>
      <c r="M396" s="51">
        <v>0</v>
      </c>
      <c r="N396" s="50" t="s">
        <v>33</v>
      </c>
      <c r="O396" s="50" t="s">
        <v>19</v>
      </c>
      <c r="P396" s="50" t="s">
        <v>19</v>
      </c>
    </row>
    <row r="397" spans="1:16" ht="15" customHeight="1" x14ac:dyDescent="0.35">
      <c r="A397" s="52" t="s">
        <v>798</v>
      </c>
      <c r="B397" s="52" t="s">
        <v>799</v>
      </c>
      <c r="C397" s="52" t="s">
        <v>36</v>
      </c>
      <c r="D397" s="53">
        <v>463977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463977</v>
      </c>
      <c r="M397" s="53">
        <v>0</v>
      </c>
      <c r="N397" s="52" t="s">
        <v>30</v>
      </c>
      <c r="O397" s="52" t="s">
        <v>18</v>
      </c>
      <c r="P397" s="52" t="s">
        <v>16</v>
      </c>
    </row>
    <row r="398" spans="1:16" ht="15" customHeight="1" x14ac:dyDescent="0.35">
      <c r="A398" s="50" t="s">
        <v>800</v>
      </c>
      <c r="B398" s="50" t="s">
        <v>801</v>
      </c>
      <c r="C398" s="50" t="s">
        <v>36</v>
      </c>
      <c r="D398" s="51">
        <v>876106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876106</v>
      </c>
      <c r="M398" s="51">
        <v>657080</v>
      </c>
      <c r="N398" s="50" t="s">
        <v>30</v>
      </c>
      <c r="O398" s="50" t="s">
        <v>18</v>
      </c>
      <c r="P398" s="50" t="s">
        <v>16</v>
      </c>
    </row>
    <row r="399" spans="1:16" ht="15" customHeight="1" x14ac:dyDescent="0.35">
      <c r="A399" s="52" t="s">
        <v>802</v>
      </c>
      <c r="B399" s="52" t="s">
        <v>802</v>
      </c>
      <c r="C399" s="52" t="s">
        <v>40</v>
      </c>
      <c r="D399" s="53">
        <v>475540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475540</v>
      </c>
      <c r="M399" s="53">
        <v>0</v>
      </c>
      <c r="N399" s="52" t="s">
        <v>17</v>
      </c>
      <c r="O399" s="52" t="s">
        <v>19</v>
      </c>
      <c r="P399" s="50" t="s">
        <v>19</v>
      </c>
    </row>
  </sheetData>
  <autoFilter ref="A1:P399" xr:uid="{00000000-0001-0000-08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Live Dashboard</vt:lpstr>
      <vt:lpstr>By Ownership</vt:lpstr>
      <vt:lpstr>By Dependency</vt:lpstr>
      <vt:lpstr>By Project Status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2026-06-16T10:38:29Z</dcterms:created>
  <dcterms:modified xsi:type="dcterms:W3CDTF">2026-06-17T05:59:33Z</dcterms:modified>
  <dc:language>en-US</dc:language>
</cp:coreProperties>
</file>